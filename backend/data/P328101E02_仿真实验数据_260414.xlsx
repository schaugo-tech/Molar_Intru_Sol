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awData" sheetId="1" r:id="rId1"/>
  </sheets>
  <definedNames>
    <definedName name="_xlnm._FilterDatabase" localSheetId="0" hidden="1">RawData!$B$1:$AC$49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<sst xmlns="http://schemas.openxmlformats.org/spreadsheetml/2006/main" count="125" uniqueCount="80">
  <si>
    <t>编号</t>
  </si>
  <si>
    <t>Aligner material</t>
  </si>
  <si>
    <t>Alveolar height</t>
  </si>
  <si>
    <t>Planned Intrusion (mm)</t>
  </si>
  <si>
    <t>PDL_max (kPa)</t>
  </si>
  <si>
    <t>牙槽脊顶应力 (Mpa)</t>
  </si>
  <si>
    <r>
      <t>牙槽脊顶形变 (</t>
    </r>
    <r>
      <rPr>
        <sz val="8"/>
        <color theme="1"/>
        <rFont val="Arial"/>
        <charset val="134"/>
      </rPr>
      <t>mm)</t>
    </r>
  </si>
  <si>
    <t>Intrusion Efficacy</t>
  </si>
  <si>
    <t>Disp_Z_17</t>
  </si>
  <si>
    <t>Disp_Z_16</t>
  </si>
  <si>
    <t>Disp_Z_15</t>
  </si>
  <si>
    <t>Disp_Z_14</t>
  </si>
  <si>
    <t>Disp_Z_13</t>
  </si>
  <si>
    <t>Disp_Z_12</t>
  </si>
  <si>
    <t>Disp_Z_11</t>
  </si>
  <si>
    <t>Disp_X_17</t>
  </si>
  <si>
    <t>Disp_X_16</t>
  </si>
  <si>
    <t>Disp_X_15</t>
  </si>
  <si>
    <t>Disp_X_14</t>
  </si>
  <si>
    <t>Disp_X_13</t>
  </si>
  <si>
    <t>Disp_X_12</t>
  </si>
  <si>
    <t>Disp_X_11</t>
  </si>
  <si>
    <t>Disp_Y_17</t>
  </si>
  <si>
    <t>Disp_Y_16</t>
  </si>
  <si>
    <t>Disp_Y_15</t>
  </si>
  <si>
    <t>Disp_Y_14</t>
  </si>
  <si>
    <t>Disp_Y_13</t>
  </si>
  <si>
    <t>Disp_Y_12</t>
  </si>
  <si>
    <t>Disp_Y_11</t>
  </si>
  <si>
    <t>TPU-01</t>
  </si>
  <si>
    <t>TPU(soft)</t>
  </si>
  <si>
    <t>TPU-02</t>
  </si>
  <si>
    <t>TPU-03</t>
  </si>
  <si>
    <t>TPU-04</t>
  </si>
  <si>
    <t>TPU-05</t>
  </si>
  <si>
    <t>TPU-06</t>
  </si>
  <si>
    <t>TPU-07</t>
  </si>
  <si>
    <t>TPU-08</t>
  </si>
  <si>
    <t>TPU-09</t>
  </si>
  <si>
    <t>TPU-10</t>
  </si>
  <si>
    <t>TPU-11</t>
  </si>
  <si>
    <t>TPU-12</t>
  </si>
  <si>
    <t>TPU-13</t>
  </si>
  <si>
    <t>TPU-14</t>
  </si>
  <si>
    <t>TPU-15</t>
  </si>
  <si>
    <t>TPU-16</t>
  </si>
  <si>
    <t>MLT-01</t>
  </si>
  <si>
    <t>MultiLayer</t>
  </si>
  <si>
    <t>MLT-02</t>
  </si>
  <si>
    <t>MLT-03</t>
  </si>
  <si>
    <t>MLT-04</t>
  </si>
  <si>
    <t>MLT-05</t>
  </si>
  <si>
    <t>MLT-06</t>
  </si>
  <si>
    <t>MLT-07</t>
  </si>
  <si>
    <t>MLT-08</t>
  </si>
  <si>
    <t>MLT-09</t>
  </si>
  <si>
    <t>MLT-10</t>
  </si>
  <si>
    <t>MLT-11</t>
  </si>
  <si>
    <t>MLT-12</t>
  </si>
  <si>
    <t>MLT-13</t>
  </si>
  <si>
    <t>MLT-14</t>
  </si>
  <si>
    <t>MLT-15</t>
  </si>
  <si>
    <t>MLT-16</t>
  </si>
  <si>
    <t>PET-01</t>
  </si>
  <si>
    <t>PETG(hard)</t>
  </si>
  <si>
    <t>PET-02</t>
  </si>
  <si>
    <t>PET-03</t>
  </si>
  <si>
    <t>PET-04</t>
  </si>
  <si>
    <t>PET-05</t>
  </si>
  <si>
    <t>PET-06</t>
  </si>
  <si>
    <t>PET-07</t>
  </si>
  <si>
    <t>PET-08</t>
  </si>
  <si>
    <t>PET-09</t>
  </si>
  <si>
    <t>PET-10</t>
  </si>
  <si>
    <t>PET-11</t>
  </si>
  <si>
    <t>PET-12</t>
  </si>
  <si>
    <t>PET-13</t>
  </si>
  <si>
    <t>PET-14</t>
  </si>
  <si>
    <t>PET-15</t>
  </si>
  <si>
    <t>PET-16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</si>
</sst>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%"/>
    <numFmt numFmtId="179" formatCode="0.00000_ "/>
  </numFmts>
  <fonts count="27">
    <font>
      <sz val="11"/>
      <color theme="1"/>
      <name val="宋体"/>
      <charset val="134"/>
      <scheme val="minor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000000"/>
      <name val="微软雅黑"/>
      <charset val="134"/>
    </font>
    <font>
      <sz val="9"/>
      <color theme="1"/>
      <name val="Arial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4" borderId="15">
      <alignment vertical="center"/>
    </xf>
    <xf numFmtId="0" fontId="17" fillId="5" borderId="16">
      <alignment vertical="center"/>
    </xf>
    <xf numFmtId="0" fontId="18" fillId="5" borderId="15">
      <alignment vertical="center"/>
    </xf>
    <xf numFmtId="0" fontId="19" fillId="6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0" xfId="0" applyFont="1">
      <alignment vertical="center"/>
    </xf>
    <xf numFmtId="0" fontId="6" fillId="2" borderId="8" xfId="0" applyFont="1" applyFill="1" applyBorder="1" applyAlignment="1">
      <alignment vertical="center"/>
    </xf>
    <xf numFmtId="9" fontId="2" fillId="2" borderId="2" xfId="0" applyNumberFormat="1" applyFont="1" applyFill="1" applyBorder="1" applyAlignment="1">
      <alignment vertical="center"/>
    </xf>
    <xf numFmtId="176" fontId="2" fillId="2" borderId="9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77" fontId="2" fillId="2" borderId="8" xfId="0" applyNumberFormat="1" applyFont="1" applyFill="1" applyBorder="1" applyAlignment="1">
      <alignment vertical="center"/>
    </xf>
    <xf numFmtId="178" fontId="2" fillId="2" borderId="10" xfId="0" applyNumberFormat="1" applyFont="1" applyFill="1" applyBorder="1" applyAlignment="1">
      <alignment vertical="center"/>
    </xf>
    <xf numFmtId="179" fontId="2" fillId="2" borderId="8" xfId="0" applyNumberFormat="1" applyFont="1" applyFill="1" applyBorder="1" applyAlignment="1">
      <alignment vertical="center"/>
    </xf>
    <xf numFmtId="179" fontId="2" fillId="2" borderId="2" xfId="0" applyNumberFormat="1" applyFont="1" applyFill="1" applyBorder="1" applyAlignment="1">
      <alignment vertical="center"/>
    </xf>
    <xf numFmtId="179" fontId="2" fillId="2" borderId="9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9" fontId="2" fillId="2" borderId="0" xfId="0" applyNumberFormat="1" applyFont="1" applyFill="1" applyBorder="1" applyAlignment="1">
      <alignment vertical="center"/>
    </xf>
    <xf numFmtId="176" fontId="2" fillId="2" borderId="4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77" fontId="2" fillId="2" borderId="3" xfId="0" applyNumberFormat="1" applyFont="1" applyFill="1" applyBorder="1" applyAlignment="1">
      <alignment vertical="center"/>
    </xf>
    <xf numFmtId="178" fontId="2" fillId="2" borderId="5" xfId="0" applyNumberFormat="1" applyFont="1" applyFill="1" applyBorder="1" applyAlignment="1">
      <alignment vertical="center"/>
    </xf>
    <xf numFmtId="179" fontId="2" fillId="2" borderId="3" xfId="0" applyNumberFormat="1" applyFont="1" applyFill="1" applyBorder="1" applyAlignment="1">
      <alignment vertical="center"/>
    </xf>
    <xf numFmtId="179" fontId="2" fillId="2" borderId="0" xfId="0" applyNumberFormat="1" applyFont="1" applyFill="1" applyBorder="1" applyAlignment="1">
      <alignment vertical="center"/>
    </xf>
    <xf numFmtId="179" fontId="2" fillId="2" borderId="4" xfId="0" applyNumberFormat="1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9" fontId="2" fillId="0" borderId="0" xfId="0" applyNumberFormat="1" applyFont="1" applyFill="1" applyBorder="1" applyAlignment="1">
      <alignment vertical="center"/>
    </xf>
    <xf numFmtId="176" fontId="2" fillId="0" borderId="4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77" fontId="2" fillId="0" borderId="3" xfId="0" applyNumberFormat="1" applyFont="1" applyFill="1" applyBorder="1" applyAlignment="1">
      <alignment vertical="center"/>
    </xf>
    <xf numFmtId="178" fontId="2" fillId="0" borderId="5" xfId="0" applyNumberFormat="1" applyFont="1" applyFill="1" applyBorder="1" applyAlignment="1">
      <alignment vertical="center"/>
    </xf>
    <xf numFmtId="179" fontId="2" fillId="0" borderId="3" xfId="0" applyNumberFormat="1" applyFont="1" applyFill="1" applyBorder="1" applyAlignment="1">
      <alignment vertical="center"/>
    </xf>
    <xf numFmtId="179" fontId="2" fillId="0" borderId="0" xfId="0" applyNumberFormat="1" applyFont="1" applyFill="1" applyBorder="1" applyAlignment="1">
      <alignment vertical="center"/>
    </xf>
    <xf numFmtId="179" fontId="2" fillId="0" borderId="4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9" fontId="2" fillId="0" borderId="1" xfId="0" applyNumberFormat="1" applyFont="1" applyFill="1" applyBorder="1" applyAlignment="1">
      <alignment vertical="center"/>
    </xf>
    <xf numFmtId="176" fontId="2" fillId="0" borderId="11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77" fontId="2" fillId="0" borderId="6" xfId="0" applyNumberFormat="1" applyFont="1" applyFill="1" applyBorder="1" applyAlignment="1">
      <alignment vertical="center"/>
    </xf>
    <xf numFmtId="178" fontId="2" fillId="0" borderId="7" xfId="0" applyNumberFormat="1" applyFont="1" applyFill="1" applyBorder="1" applyAlignment="1">
      <alignment vertical="center"/>
    </xf>
    <xf numFmtId="179" fontId="2" fillId="0" borderId="6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/>
    </xf>
    <xf numFmtId="179" fontId="2" fillId="0" borderId="11" xfId="0" applyNumberFormat="1" applyFont="1" applyFill="1" applyBorder="1" applyAlignme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"/>
  <sheetViews>
    <sheetView tabSelected="1" zoomScale="85" zoomScaleNormal="85" workbookViewId="0">
      <pane ySplit="1" topLeftCell="A58" activePane="bottomLeft" state="frozen"/>
      <selection/>
      <selection pane="bottomLeft" activeCell="AD1" sqref="AD$1:AX$1048576"/>
    </sheetView>
  </sheetViews>
  <sheetFormatPr defaultColWidth="9" defaultRowHeight="13.5"/>
  <cols>
    <col min="2" max="2" width="9.5" style="6" customWidth="1"/>
    <col min="3" max="3" width="7.225" customWidth="1"/>
    <col min="4" max="4" width="7.225" style="7" customWidth="1"/>
    <col min="5" max="5" width="8" style="6" customWidth="1"/>
    <col min="6" max="7" width="7.225" style="6" customWidth="1"/>
    <col min="8" max="8" width="7.225" style="8" customWidth="1"/>
    <col min="9" max="9" width="8.625" style="9" customWidth="1"/>
    <col min="10" max="14" width="8.625" customWidth="1"/>
    <col min="15" max="15" width="8.625" style="7" customWidth="1"/>
    <col min="16" max="16" width="8.625" style="6" customWidth="1"/>
    <col min="17" max="21" width="8.625" customWidth="1"/>
    <col min="22" max="22" width="8.625" style="7" customWidth="1"/>
    <col min="23" max="23" width="8.625" style="6" customWidth="1"/>
    <col min="24" max="28" width="8.625" customWidth="1"/>
    <col min="29" max="29" width="8.625" style="7" customWidth="1"/>
  </cols>
  <sheetData>
    <row r="1" s="1" customFormat="1" ht="49" customHeight="1" spans="1:29">
      <c r="A1" s="1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</row>
    <row r="2" s="2" customFormat="1" ht="14.25" spans="1:29">
      <c r="A2" s="15" t="s">
        <v>29</v>
      </c>
      <c r="B2" s="16" t="s">
        <v>30</v>
      </c>
      <c r="C2" s="17">
        <v>1</v>
      </c>
      <c r="D2" s="18">
        <v>0.1</v>
      </c>
      <c r="E2" s="19">
        <v>6.921</v>
      </c>
      <c r="F2" s="20">
        <v>0.221</v>
      </c>
      <c r="G2" s="20">
        <v>0.0457</v>
      </c>
      <c r="H2" s="21">
        <f t="shared" ref="H2:H6" si="0">I2/D2</f>
        <v>0.4567</v>
      </c>
      <c r="I2" s="22">
        <v>0.04567</v>
      </c>
      <c r="J2" s="23">
        <v>-0.01148</v>
      </c>
      <c r="K2" s="23">
        <v>-0.00687</v>
      </c>
      <c r="L2" s="23">
        <v>-0.00476</v>
      </c>
      <c r="M2" s="23">
        <v>-0.00352</v>
      </c>
      <c r="N2" s="23">
        <v>-0.00078</v>
      </c>
      <c r="O2" s="24">
        <v>0.00077</v>
      </c>
      <c r="P2" s="22">
        <v>-0.002144</v>
      </c>
      <c r="Q2" s="23">
        <v>0.000927</v>
      </c>
      <c r="R2" s="23">
        <v>0.000591</v>
      </c>
      <c r="S2" s="23">
        <v>0.000411</v>
      </c>
      <c r="T2" s="23">
        <v>0.000324</v>
      </c>
      <c r="U2" s="23">
        <v>6.1e-5</v>
      </c>
      <c r="V2" s="24">
        <v>-7.4e-5</v>
      </c>
      <c r="W2" s="22">
        <v>0.001286</v>
      </c>
      <c r="X2" s="23">
        <v>0.000526</v>
      </c>
      <c r="Y2" s="23">
        <v>0.00043</v>
      </c>
      <c r="Z2" s="23">
        <v>0.000306</v>
      </c>
      <c r="AA2" s="23">
        <v>0.000225</v>
      </c>
      <c r="AB2" s="23">
        <v>0.001337</v>
      </c>
      <c r="AC2" s="24">
        <v>0.000907</v>
      </c>
    </row>
    <row r="3" s="3" customFormat="1" ht="14.25" spans="1:29">
      <c r="A3" s="15" t="s">
        <v>31</v>
      </c>
      <c r="B3" s="25" t="s">
        <v>30</v>
      </c>
      <c r="C3" s="26">
        <v>1</v>
      </c>
      <c r="D3" s="27">
        <v>0.15</v>
      </c>
      <c r="E3" s="28">
        <v>12.945</v>
      </c>
      <c r="F3" s="29">
        <v>0.336</v>
      </c>
      <c r="G3" s="29">
        <v>0.0684</v>
      </c>
      <c r="H3" s="30">
        <f t="shared" si="0"/>
        <v>0.454533333333333</v>
      </c>
      <c r="I3" s="31">
        <v>0.06818</v>
      </c>
      <c r="J3" s="32">
        <v>-0.01556</v>
      </c>
      <c r="K3" s="32">
        <v>-0.0129</v>
      </c>
      <c r="L3" s="32">
        <v>-0.00684</v>
      </c>
      <c r="M3" s="32">
        <v>-0.00476</v>
      </c>
      <c r="N3" s="32">
        <v>-0.0025</v>
      </c>
      <c r="O3" s="33">
        <v>0.00125</v>
      </c>
      <c r="P3" s="31">
        <v>-0.004511</v>
      </c>
      <c r="Q3" s="32">
        <v>0.001307</v>
      </c>
      <c r="R3" s="32">
        <v>0.001104</v>
      </c>
      <c r="S3" s="32">
        <v>0.000594</v>
      </c>
      <c r="T3" s="32">
        <v>0.000445</v>
      </c>
      <c r="U3" s="32">
        <v>0.000247</v>
      </c>
      <c r="V3" s="33">
        <v>-9.5e-5</v>
      </c>
      <c r="W3" s="31">
        <v>0.003022</v>
      </c>
      <c r="X3" s="32">
        <v>0.000912</v>
      </c>
      <c r="Y3" s="32">
        <v>0.000836</v>
      </c>
      <c r="Z3" s="32">
        <v>0.00037</v>
      </c>
      <c r="AA3" s="32">
        <v>0.000336</v>
      </c>
      <c r="AB3" s="32">
        <v>0.002654</v>
      </c>
      <c r="AC3" s="33">
        <v>0.002186</v>
      </c>
    </row>
    <row r="4" s="3" customFormat="1" ht="14.25" spans="1:29">
      <c r="A4" s="15" t="s">
        <v>32</v>
      </c>
      <c r="B4" s="25" t="s">
        <v>30</v>
      </c>
      <c r="C4" s="26">
        <v>1</v>
      </c>
      <c r="D4" s="27">
        <v>0.18</v>
      </c>
      <c r="E4" s="28">
        <v>16.29</v>
      </c>
      <c r="F4" s="29">
        <v>0.402</v>
      </c>
      <c r="G4" s="29">
        <v>0.0811</v>
      </c>
      <c r="H4" s="30">
        <f t="shared" si="0"/>
        <v>0.449555555555556</v>
      </c>
      <c r="I4" s="31">
        <v>0.08092</v>
      </c>
      <c r="J4" s="32">
        <v>-0.01835</v>
      </c>
      <c r="K4" s="32">
        <v>-0.01095</v>
      </c>
      <c r="L4" s="32">
        <v>-0.01067</v>
      </c>
      <c r="M4" s="32">
        <v>-0.00446</v>
      </c>
      <c r="N4" s="32">
        <v>-0.00167</v>
      </c>
      <c r="O4" s="33">
        <v>0.00011</v>
      </c>
      <c r="P4" s="31">
        <v>-0.004549</v>
      </c>
      <c r="Q4" s="32">
        <v>0.001483</v>
      </c>
      <c r="R4" s="32">
        <v>0.001027</v>
      </c>
      <c r="S4" s="32">
        <v>0.000885</v>
      </c>
      <c r="T4" s="32">
        <v>0.000434</v>
      </c>
      <c r="U4" s="32">
        <v>0.00014</v>
      </c>
      <c r="V4" s="33">
        <v>-8e-6</v>
      </c>
      <c r="W4" s="31">
        <v>0.002803</v>
      </c>
      <c r="X4" s="32">
        <v>0.000608</v>
      </c>
      <c r="Y4" s="32">
        <v>0.000464</v>
      </c>
      <c r="Z4" s="32">
        <v>0.000698</v>
      </c>
      <c r="AA4" s="32">
        <v>0.000261</v>
      </c>
      <c r="AB4" s="32">
        <v>0.002561</v>
      </c>
      <c r="AC4" s="33">
        <v>0.001794</v>
      </c>
    </row>
    <row r="5" s="3" customFormat="1" ht="14.25" spans="1:29">
      <c r="A5" s="15" t="s">
        <v>33</v>
      </c>
      <c r="B5" s="25" t="s">
        <v>30</v>
      </c>
      <c r="C5" s="26">
        <v>1</v>
      </c>
      <c r="D5" s="27">
        <v>0.2</v>
      </c>
      <c r="E5" s="28">
        <v>19.584</v>
      </c>
      <c r="F5" s="29">
        <v>0.446</v>
      </c>
      <c r="G5" s="29">
        <v>0.0896</v>
      </c>
      <c r="H5" s="30">
        <f t="shared" si="0"/>
        <v>0.4473</v>
      </c>
      <c r="I5" s="31">
        <v>0.08946</v>
      </c>
      <c r="J5" s="32">
        <v>-0.02088</v>
      </c>
      <c r="K5" s="32">
        <v>-0.01301</v>
      </c>
      <c r="L5" s="32">
        <v>-0.01218</v>
      </c>
      <c r="M5" s="32">
        <v>-0.00794</v>
      </c>
      <c r="N5" s="32">
        <v>-0.0011</v>
      </c>
      <c r="O5" s="33">
        <v>0.00139</v>
      </c>
      <c r="P5" s="31">
        <v>-0.004191</v>
      </c>
      <c r="Q5" s="32">
        <v>0.001703</v>
      </c>
      <c r="R5" s="32">
        <v>0.001181</v>
      </c>
      <c r="S5" s="32">
        <v>0.000951</v>
      </c>
      <c r="T5" s="32">
        <v>0.000643</v>
      </c>
      <c r="U5" s="32">
        <v>8.8e-5</v>
      </c>
      <c r="V5" s="33">
        <v>-0.00012</v>
      </c>
      <c r="W5" s="31">
        <v>0.002588</v>
      </c>
      <c r="X5" s="32">
        <v>0.000993</v>
      </c>
      <c r="Y5" s="32">
        <v>0.000486</v>
      </c>
      <c r="Z5" s="32">
        <v>0.000513</v>
      </c>
      <c r="AA5" s="32">
        <v>0.00031</v>
      </c>
      <c r="AB5" s="32">
        <v>0.001953</v>
      </c>
      <c r="AC5" s="33">
        <v>0.002235</v>
      </c>
    </row>
    <row r="6" s="3" customFormat="1" ht="14.25" spans="1:29">
      <c r="A6" s="15" t="s">
        <v>34</v>
      </c>
      <c r="B6" s="34" t="s">
        <v>30</v>
      </c>
      <c r="C6" s="35">
        <v>0.66</v>
      </c>
      <c r="D6" s="36">
        <v>0.1</v>
      </c>
      <c r="E6" s="37">
        <v>7.183</v>
      </c>
      <c r="F6" s="38">
        <v>0.256</v>
      </c>
      <c r="G6" s="38">
        <v>0.0576</v>
      </c>
      <c r="H6" s="39">
        <f t="shared" si="0"/>
        <v>0.57279</v>
      </c>
      <c r="I6" s="40">
        <v>0.057279</v>
      </c>
      <c r="J6" s="41">
        <v>-0.013367</v>
      </c>
      <c r="K6" s="41">
        <v>-0.009176</v>
      </c>
      <c r="L6" s="41">
        <v>-0.005537</v>
      </c>
      <c r="M6" s="41">
        <v>-0.004658</v>
      </c>
      <c r="N6" s="41">
        <v>-0.001031</v>
      </c>
      <c r="O6" s="42">
        <v>0.00094</v>
      </c>
      <c r="P6" s="40">
        <v>-0.005446</v>
      </c>
      <c r="Q6" s="41">
        <v>0.001236</v>
      </c>
      <c r="R6" s="41">
        <v>0.000721</v>
      </c>
      <c r="S6" s="41">
        <v>0.000518</v>
      </c>
      <c r="T6" s="41">
        <v>0.000396</v>
      </c>
      <c r="U6" s="41">
        <v>7.4e-5</v>
      </c>
      <c r="V6" s="42">
        <v>-8e-5</v>
      </c>
      <c r="W6" s="40">
        <v>0.002577</v>
      </c>
      <c r="X6" s="41">
        <v>0.000551</v>
      </c>
      <c r="Y6" s="41">
        <v>0.000322</v>
      </c>
      <c r="Z6" s="41">
        <v>0.000274</v>
      </c>
      <c r="AA6" s="41">
        <v>0.000312</v>
      </c>
      <c r="AB6" s="41">
        <v>0.002267</v>
      </c>
      <c r="AC6" s="42">
        <v>0.00186</v>
      </c>
    </row>
    <row r="7" s="3" customFormat="1" ht="14.25" spans="1:29">
      <c r="A7" s="15" t="s">
        <v>35</v>
      </c>
      <c r="B7" s="34" t="s">
        <v>30</v>
      </c>
      <c r="C7" s="35">
        <v>0.66</v>
      </c>
      <c r="D7" s="36">
        <v>0.15</v>
      </c>
      <c r="E7" s="37">
        <v>14.527</v>
      </c>
      <c r="F7" s="38">
        <v>0.394</v>
      </c>
      <c r="G7" s="38">
        <v>0.0874</v>
      </c>
      <c r="H7" s="39">
        <f t="shared" ref="H7:H49" si="1">I7/D7</f>
        <v>0.578873333333333</v>
      </c>
      <c r="I7" s="40">
        <v>0.086831</v>
      </c>
      <c r="J7" s="41">
        <v>-0.020536</v>
      </c>
      <c r="K7" s="41">
        <v>-0.015962</v>
      </c>
      <c r="L7" s="41">
        <v>-0.008426</v>
      </c>
      <c r="M7" s="41">
        <v>-0.005992</v>
      </c>
      <c r="N7" s="41">
        <v>-0.003397</v>
      </c>
      <c r="O7" s="42">
        <v>0.001619</v>
      </c>
      <c r="P7" s="40">
        <v>-0.008259</v>
      </c>
      <c r="Q7" s="41">
        <v>0.001435</v>
      </c>
      <c r="R7" s="41">
        <v>0.001264</v>
      </c>
      <c r="S7" s="41">
        <v>0.000804</v>
      </c>
      <c r="T7" s="41">
        <v>0.000488</v>
      </c>
      <c r="U7" s="41">
        <v>0.00034</v>
      </c>
      <c r="V7" s="42">
        <v>-0.000152</v>
      </c>
      <c r="W7" s="40">
        <v>0.005738</v>
      </c>
      <c r="X7" s="41">
        <v>0.00067</v>
      </c>
      <c r="Y7" s="41">
        <v>0.000854</v>
      </c>
      <c r="Z7" s="41">
        <v>0.000562</v>
      </c>
      <c r="AA7" s="41">
        <v>0.000255</v>
      </c>
      <c r="AB7" s="41">
        <v>0.003692</v>
      </c>
      <c r="AC7" s="42">
        <v>0.004151</v>
      </c>
    </row>
    <row r="8" s="3" customFormat="1" ht="14.25" spans="1:29">
      <c r="A8" s="15" t="s">
        <v>36</v>
      </c>
      <c r="B8" s="34" t="s">
        <v>30</v>
      </c>
      <c r="C8" s="35">
        <v>0.66</v>
      </c>
      <c r="D8" s="36">
        <v>0.18</v>
      </c>
      <c r="E8" s="37">
        <v>21.841</v>
      </c>
      <c r="F8" s="38">
        <v>0.461</v>
      </c>
      <c r="G8" s="38">
        <v>0.1006</v>
      </c>
      <c r="H8" s="39">
        <f t="shared" si="1"/>
        <v>0.556322222222222</v>
      </c>
      <c r="I8" s="40">
        <v>0.100138</v>
      </c>
      <c r="J8" s="41">
        <v>-0.024377</v>
      </c>
      <c r="K8" s="41">
        <v>-0.013598</v>
      </c>
      <c r="L8" s="41">
        <v>-0.012416</v>
      </c>
      <c r="M8" s="41">
        <v>-0.005367</v>
      </c>
      <c r="N8" s="41">
        <v>-0.001999</v>
      </c>
      <c r="O8" s="42">
        <v>0.000127</v>
      </c>
      <c r="P8" s="40">
        <v>-0.008683</v>
      </c>
      <c r="Q8" s="41">
        <v>0.002176</v>
      </c>
      <c r="R8" s="41">
        <v>0.0012</v>
      </c>
      <c r="S8" s="41">
        <v>0.001196</v>
      </c>
      <c r="T8" s="41">
        <v>0.000429</v>
      </c>
      <c r="U8" s="41">
        <v>0.000168</v>
      </c>
      <c r="V8" s="42">
        <v>-1.1e-5</v>
      </c>
      <c r="W8" s="40">
        <v>0.004472</v>
      </c>
      <c r="X8" s="41">
        <v>0.001379</v>
      </c>
      <c r="Y8" s="41">
        <v>0.000802</v>
      </c>
      <c r="Z8" s="41">
        <v>0.000949</v>
      </c>
      <c r="AA8" s="41">
        <v>0.000183</v>
      </c>
      <c r="AB8" s="41">
        <v>0.002769</v>
      </c>
      <c r="AC8" s="42">
        <v>0.003567</v>
      </c>
    </row>
    <row r="9" s="3" customFormat="1" ht="14.25" spans="1:29">
      <c r="A9" s="15" t="s">
        <v>37</v>
      </c>
      <c r="B9" s="34" t="s">
        <v>30</v>
      </c>
      <c r="C9" s="35">
        <v>0.66</v>
      </c>
      <c r="D9" s="36">
        <v>0.2</v>
      </c>
      <c r="E9" s="37">
        <v>25.039</v>
      </c>
      <c r="F9" s="38">
        <v>0.51</v>
      </c>
      <c r="G9" s="38">
        <v>0.1107</v>
      </c>
      <c r="H9" s="39">
        <f t="shared" si="1"/>
        <v>0.550985</v>
      </c>
      <c r="I9" s="40">
        <v>0.110197</v>
      </c>
      <c r="J9" s="41">
        <v>-0.024992</v>
      </c>
      <c r="K9" s="41">
        <v>-0.015405</v>
      </c>
      <c r="L9" s="41">
        <v>-0.014071</v>
      </c>
      <c r="M9" s="41">
        <v>-0.00982</v>
      </c>
      <c r="N9" s="41">
        <v>-0.001276</v>
      </c>
      <c r="O9" s="42">
        <v>0.001754</v>
      </c>
      <c r="P9" s="40">
        <v>-0.008951</v>
      </c>
      <c r="Q9" s="41">
        <v>0.001875</v>
      </c>
      <c r="R9" s="41">
        <v>0.001372</v>
      </c>
      <c r="S9" s="41">
        <v>0.001386</v>
      </c>
      <c r="T9" s="41">
        <v>0.000883</v>
      </c>
      <c r="U9" s="41">
        <v>0.000127</v>
      </c>
      <c r="V9" s="42">
        <v>-0.000132</v>
      </c>
      <c r="W9" s="40">
        <v>0.005439</v>
      </c>
      <c r="X9" s="41">
        <v>0.00143</v>
      </c>
      <c r="Y9" s="41">
        <v>0.000856</v>
      </c>
      <c r="Z9" s="41">
        <v>0.00085</v>
      </c>
      <c r="AA9" s="41">
        <v>0.000452</v>
      </c>
      <c r="AB9" s="41">
        <v>0.003199</v>
      </c>
      <c r="AC9" s="42">
        <v>0.004693</v>
      </c>
    </row>
    <row r="10" s="3" customFormat="1" ht="14.25" spans="1:29">
      <c r="A10" s="15" t="s">
        <v>38</v>
      </c>
      <c r="B10" s="25" t="s">
        <v>30</v>
      </c>
      <c r="C10" s="26">
        <v>0.58</v>
      </c>
      <c r="D10" s="27">
        <v>0.1</v>
      </c>
      <c r="E10" s="28">
        <v>4.385</v>
      </c>
      <c r="F10" s="29">
        <v>0.207</v>
      </c>
      <c r="G10" s="29">
        <v>0.0487</v>
      </c>
      <c r="H10" s="30">
        <f t="shared" si="1"/>
        <v>0.48274</v>
      </c>
      <c r="I10" s="31">
        <v>0.048274</v>
      </c>
      <c r="J10" s="32">
        <v>-0.011789</v>
      </c>
      <c r="K10" s="32">
        <v>-0.007561</v>
      </c>
      <c r="L10" s="32">
        <v>-0.005023</v>
      </c>
      <c r="M10" s="32">
        <v>-0.003536</v>
      </c>
      <c r="N10" s="32">
        <v>-0.000798</v>
      </c>
      <c r="O10" s="33">
        <v>0.000858</v>
      </c>
      <c r="P10" s="31">
        <v>-0.005777</v>
      </c>
      <c r="Q10" s="32">
        <v>0.001303</v>
      </c>
      <c r="R10" s="32">
        <v>0.000836</v>
      </c>
      <c r="S10" s="32">
        <v>0.000666</v>
      </c>
      <c r="T10" s="32">
        <v>0.000373</v>
      </c>
      <c r="U10" s="32">
        <v>8.8e-5</v>
      </c>
      <c r="V10" s="33">
        <v>-0.000106</v>
      </c>
      <c r="W10" s="31">
        <v>0.002739</v>
      </c>
      <c r="X10" s="32">
        <v>0.00082</v>
      </c>
      <c r="Y10" s="32">
        <v>0.000381</v>
      </c>
      <c r="Z10" s="32">
        <v>0.000274</v>
      </c>
      <c r="AA10" s="32">
        <v>0.000159</v>
      </c>
      <c r="AB10" s="32">
        <v>0.002632</v>
      </c>
      <c r="AC10" s="33">
        <v>0.002541</v>
      </c>
    </row>
    <row r="11" s="3" customFormat="1" ht="14.25" spans="1:29">
      <c r="A11" s="15" t="s">
        <v>39</v>
      </c>
      <c r="B11" s="25" t="s">
        <v>30</v>
      </c>
      <c r="C11" s="26">
        <v>0.58</v>
      </c>
      <c r="D11" s="27">
        <v>0.15</v>
      </c>
      <c r="E11" s="28">
        <v>11.217</v>
      </c>
      <c r="F11" s="29">
        <v>0.323</v>
      </c>
      <c r="G11" s="29">
        <v>0.0747</v>
      </c>
      <c r="H11" s="30">
        <f t="shared" si="1"/>
        <v>0.493153333333333</v>
      </c>
      <c r="I11" s="31">
        <v>0.073973</v>
      </c>
      <c r="J11" s="32">
        <v>-0.01707</v>
      </c>
      <c r="K11" s="32">
        <v>-0.014056</v>
      </c>
      <c r="L11" s="32">
        <v>-0.007526</v>
      </c>
      <c r="M11" s="32">
        <v>-0.004837</v>
      </c>
      <c r="N11" s="32">
        <v>-0.002705</v>
      </c>
      <c r="O11" s="33">
        <v>0.001257</v>
      </c>
      <c r="P11" s="31">
        <v>-0.008634</v>
      </c>
      <c r="Q11" s="32">
        <v>0.00218</v>
      </c>
      <c r="R11" s="32">
        <v>0.001887</v>
      </c>
      <c r="S11" s="32">
        <v>0.001033</v>
      </c>
      <c r="T11" s="32">
        <v>0.000626</v>
      </c>
      <c r="U11" s="32">
        <v>0.000323</v>
      </c>
      <c r="V11" s="33">
        <v>-0.000172</v>
      </c>
      <c r="W11" s="31">
        <v>0.00519</v>
      </c>
      <c r="X11" s="32">
        <v>0.00139</v>
      </c>
      <c r="Y11" s="32">
        <v>0.001064</v>
      </c>
      <c r="Z11" s="32">
        <v>0.000612</v>
      </c>
      <c r="AA11" s="32">
        <v>0.00047</v>
      </c>
      <c r="AB11" s="32">
        <v>0.004481</v>
      </c>
      <c r="AC11" s="33">
        <v>0.003856</v>
      </c>
    </row>
    <row r="12" s="3" customFormat="1" ht="14.25" spans="1:29">
      <c r="A12" s="15" t="s">
        <v>40</v>
      </c>
      <c r="B12" s="25" t="s">
        <v>30</v>
      </c>
      <c r="C12" s="26">
        <v>0.58</v>
      </c>
      <c r="D12" s="27">
        <v>0.18</v>
      </c>
      <c r="E12" s="28">
        <v>17.858</v>
      </c>
      <c r="F12" s="29">
        <v>0.401</v>
      </c>
      <c r="G12" s="29">
        <v>0.0917</v>
      </c>
      <c r="H12" s="30">
        <f t="shared" si="1"/>
        <v>0.505011111111111</v>
      </c>
      <c r="I12" s="31">
        <v>0.090902</v>
      </c>
      <c r="J12" s="32">
        <v>-0.020908</v>
      </c>
      <c r="K12" s="32">
        <v>-0.011834</v>
      </c>
      <c r="L12" s="32">
        <v>-0.011663</v>
      </c>
      <c r="M12" s="32">
        <v>-0.004654</v>
      </c>
      <c r="N12" s="32">
        <v>-0.001829</v>
      </c>
      <c r="O12" s="33">
        <v>0.000117</v>
      </c>
      <c r="P12" s="31">
        <v>-0.009991</v>
      </c>
      <c r="Q12" s="32">
        <v>0.002741</v>
      </c>
      <c r="R12" s="32">
        <v>0.001483</v>
      </c>
      <c r="S12" s="32">
        <v>0.001342</v>
      </c>
      <c r="T12" s="32">
        <v>0.000641</v>
      </c>
      <c r="U12" s="32">
        <v>0.000217</v>
      </c>
      <c r="V12" s="33">
        <v>-1.2e-5</v>
      </c>
      <c r="W12" s="31">
        <v>0.007241</v>
      </c>
      <c r="X12" s="32">
        <v>0.001351</v>
      </c>
      <c r="Y12" s="32">
        <v>0.000654</v>
      </c>
      <c r="Z12" s="32">
        <v>0.00059</v>
      </c>
      <c r="AA12" s="32">
        <v>0.000458</v>
      </c>
      <c r="AB12" s="32">
        <v>0.004641</v>
      </c>
      <c r="AC12" s="33">
        <v>0.00358</v>
      </c>
    </row>
    <row r="13" s="3" customFormat="1" ht="14.25" spans="1:29">
      <c r="A13" s="15" t="s">
        <v>41</v>
      </c>
      <c r="B13" s="25" t="s">
        <v>30</v>
      </c>
      <c r="C13" s="26">
        <v>0.58</v>
      </c>
      <c r="D13" s="27">
        <v>0.2</v>
      </c>
      <c r="E13" s="28">
        <v>20.833</v>
      </c>
      <c r="F13" s="29">
        <v>0.401</v>
      </c>
      <c r="G13" s="29">
        <v>0.0903</v>
      </c>
      <c r="H13" s="30">
        <f t="shared" si="1"/>
        <v>0.448045</v>
      </c>
      <c r="I13" s="31">
        <v>0.089609</v>
      </c>
      <c r="J13" s="32">
        <v>-0.021121</v>
      </c>
      <c r="K13" s="32">
        <v>-0.012886</v>
      </c>
      <c r="L13" s="32">
        <v>-0.012962</v>
      </c>
      <c r="M13" s="32">
        <v>-0.007774</v>
      </c>
      <c r="N13" s="32">
        <v>-0.001058</v>
      </c>
      <c r="O13" s="33">
        <v>0.001365</v>
      </c>
      <c r="P13" s="31">
        <v>-0.00983</v>
      </c>
      <c r="Q13" s="32">
        <v>0.002357</v>
      </c>
      <c r="R13" s="32">
        <v>0.001639</v>
      </c>
      <c r="S13" s="32">
        <v>0.001523</v>
      </c>
      <c r="T13" s="32">
        <v>0.000828</v>
      </c>
      <c r="U13" s="32">
        <v>0.000116</v>
      </c>
      <c r="V13" s="33">
        <v>-0.000144</v>
      </c>
      <c r="W13" s="31">
        <v>0.005707</v>
      </c>
      <c r="X13" s="32">
        <v>0.001524</v>
      </c>
      <c r="Y13" s="32">
        <v>0.000762</v>
      </c>
      <c r="Z13" s="32">
        <v>0.000842</v>
      </c>
      <c r="AA13" s="32">
        <v>0.00037</v>
      </c>
      <c r="AB13" s="32">
        <v>0.002745</v>
      </c>
      <c r="AC13" s="33">
        <v>0.003434</v>
      </c>
    </row>
    <row r="14" s="3" customFormat="1" ht="14.25" spans="1:29">
      <c r="A14" s="15" t="s">
        <v>42</v>
      </c>
      <c r="B14" s="34" t="s">
        <v>30</v>
      </c>
      <c r="C14" s="35">
        <v>0.5</v>
      </c>
      <c r="D14" s="36">
        <v>0.1</v>
      </c>
      <c r="E14" s="37">
        <v>6.245</v>
      </c>
      <c r="F14" s="38">
        <v>0.199</v>
      </c>
      <c r="G14" s="38">
        <v>0.0504</v>
      </c>
      <c r="H14" s="39">
        <f t="shared" si="1"/>
        <v>0.49459</v>
      </c>
      <c r="I14" s="40">
        <v>0.049459</v>
      </c>
      <c r="J14" s="41">
        <v>-0.012926</v>
      </c>
      <c r="K14" s="41">
        <v>-0.006954</v>
      </c>
      <c r="L14" s="41">
        <v>-0.005186</v>
      </c>
      <c r="M14" s="41">
        <v>-0.003709</v>
      </c>
      <c r="N14" s="41">
        <v>-0.000853</v>
      </c>
      <c r="O14" s="42">
        <v>0.000859</v>
      </c>
      <c r="P14" s="40">
        <v>-0.008725</v>
      </c>
      <c r="Q14" s="41">
        <v>0.002179</v>
      </c>
      <c r="R14" s="41">
        <v>0.001054</v>
      </c>
      <c r="S14" s="41">
        <v>0.000838</v>
      </c>
      <c r="T14" s="41">
        <v>0.000628</v>
      </c>
      <c r="U14" s="41">
        <v>0.00014</v>
      </c>
      <c r="V14" s="42">
        <v>-0.000146</v>
      </c>
      <c r="W14" s="40">
        <v>0.004374</v>
      </c>
      <c r="X14" s="41">
        <v>0.001532</v>
      </c>
      <c r="Y14" s="41">
        <v>0.000809</v>
      </c>
      <c r="Z14" s="41">
        <v>0.000404</v>
      </c>
      <c r="AA14" s="41">
        <v>0.000298</v>
      </c>
      <c r="AB14" s="41">
        <v>0.005136</v>
      </c>
      <c r="AC14" s="42">
        <v>0.004096</v>
      </c>
    </row>
    <row r="15" s="3" customFormat="1" ht="14.25" spans="1:29">
      <c r="A15" s="15" t="s">
        <v>43</v>
      </c>
      <c r="B15" s="34" t="s">
        <v>30</v>
      </c>
      <c r="C15" s="35">
        <v>0.5</v>
      </c>
      <c r="D15" s="36">
        <v>0.15</v>
      </c>
      <c r="E15" s="37">
        <v>10.824</v>
      </c>
      <c r="F15" s="38">
        <v>0.282</v>
      </c>
      <c r="G15" s="38">
        <v>0.0703</v>
      </c>
      <c r="H15" s="39">
        <f t="shared" si="1"/>
        <v>0.459273333333333</v>
      </c>
      <c r="I15" s="40">
        <v>0.068891</v>
      </c>
      <c r="J15" s="41">
        <v>-0.015398</v>
      </c>
      <c r="K15" s="41">
        <v>-0.01275</v>
      </c>
      <c r="L15" s="41">
        <v>-0.007119</v>
      </c>
      <c r="M15" s="41">
        <v>-0.004729</v>
      </c>
      <c r="N15" s="41">
        <v>-0.002427</v>
      </c>
      <c r="O15" s="42">
        <v>0.001212</v>
      </c>
      <c r="P15" s="40">
        <v>-0.011446</v>
      </c>
      <c r="Q15" s="41">
        <v>0.002767</v>
      </c>
      <c r="R15" s="41">
        <v>0.002241</v>
      </c>
      <c r="S15" s="41">
        <v>0.001201</v>
      </c>
      <c r="T15" s="41">
        <v>0.000775</v>
      </c>
      <c r="U15" s="41">
        <v>0.00043</v>
      </c>
      <c r="V15" s="42">
        <v>-0.0002</v>
      </c>
      <c r="W15" s="40">
        <v>0.008474</v>
      </c>
      <c r="X15" s="41">
        <v>0.001602</v>
      </c>
      <c r="Y15" s="41">
        <v>0.001751</v>
      </c>
      <c r="Z15" s="41">
        <v>0.000895</v>
      </c>
      <c r="AA15" s="41">
        <v>0.000378</v>
      </c>
      <c r="AB15" s="41">
        <v>0.006002</v>
      </c>
      <c r="AC15" s="42">
        <v>0.005094</v>
      </c>
    </row>
    <row r="16" s="3" customFormat="1" ht="14.25" spans="1:29">
      <c r="A16" s="15" t="s">
        <v>44</v>
      </c>
      <c r="B16" s="34" t="s">
        <v>30</v>
      </c>
      <c r="C16" s="35">
        <v>0.5</v>
      </c>
      <c r="D16" s="36">
        <v>0.18</v>
      </c>
      <c r="E16" s="37">
        <v>16.003</v>
      </c>
      <c r="F16" s="38">
        <v>0.348</v>
      </c>
      <c r="G16" s="38">
        <v>0.0859</v>
      </c>
      <c r="H16" s="39">
        <f t="shared" si="1"/>
        <v>0.467244444444444</v>
      </c>
      <c r="I16" s="40">
        <v>0.084104</v>
      </c>
      <c r="J16" s="41">
        <v>-0.018168</v>
      </c>
      <c r="K16" s="41">
        <v>-0.010973</v>
      </c>
      <c r="L16" s="41">
        <v>-0.011035</v>
      </c>
      <c r="M16" s="41">
        <v>-0.004504</v>
      </c>
      <c r="N16" s="41">
        <v>-0.00164</v>
      </c>
      <c r="O16" s="42">
        <v>0.000122</v>
      </c>
      <c r="P16" s="40">
        <v>-0.015129</v>
      </c>
      <c r="Q16" s="41">
        <v>0.003213</v>
      </c>
      <c r="R16" s="41">
        <v>0.001873</v>
      </c>
      <c r="S16" s="41">
        <v>0.001703</v>
      </c>
      <c r="T16" s="41">
        <v>0.000664</v>
      </c>
      <c r="U16" s="41">
        <v>0.00026</v>
      </c>
      <c r="V16" s="42">
        <v>-2.1e-5</v>
      </c>
      <c r="W16" s="40">
        <v>0.008511</v>
      </c>
      <c r="X16" s="41">
        <v>0.002036</v>
      </c>
      <c r="Y16" s="41">
        <v>0.001116</v>
      </c>
      <c r="Z16" s="41">
        <v>0.001204</v>
      </c>
      <c r="AA16" s="41">
        <v>0.000468</v>
      </c>
      <c r="AB16" s="41">
        <v>0.004417</v>
      </c>
      <c r="AC16" s="42">
        <v>0.007388</v>
      </c>
    </row>
    <row r="17" s="4" customFormat="1" ht="14.25" spans="1:29">
      <c r="A17" s="15" t="s">
        <v>45</v>
      </c>
      <c r="B17" s="43" t="s">
        <v>30</v>
      </c>
      <c r="C17" s="44">
        <v>0.5</v>
      </c>
      <c r="D17" s="45">
        <v>0.2</v>
      </c>
      <c r="E17" s="46">
        <v>19.813</v>
      </c>
      <c r="F17" s="47">
        <v>0.357</v>
      </c>
      <c r="G17" s="47">
        <v>0.0877</v>
      </c>
      <c r="H17" s="48">
        <f t="shared" si="1"/>
        <v>0.43204</v>
      </c>
      <c r="I17" s="49">
        <v>0.086408</v>
      </c>
      <c r="J17" s="50">
        <v>-0.020773</v>
      </c>
      <c r="K17" s="50">
        <v>-0.012118</v>
      </c>
      <c r="L17" s="50">
        <v>-0.012466</v>
      </c>
      <c r="M17" s="50">
        <v>-0.007722</v>
      </c>
      <c r="N17" s="50">
        <v>-0.001013</v>
      </c>
      <c r="O17" s="51">
        <v>0.00139</v>
      </c>
      <c r="P17" s="49">
        <v>-0.013112</v>
      </c>
      <c r="Q17" s="50">
        <v>0.003316</v>
      </c>
      <c r="R17" s="50">
        <v>0.002065</v>
      </c>
      <c r="S17" s="50">
        <v>0.002052</v>
      </c>
      <c r="T17" s="50">
        <v>0.001141</v>
      </c>
      <c r="U17" s="50">
        <v>0.000148</v>
      </c>
      <c r="V17" s="51">
        <v>-0.000217</v>
      </c>
      <c r="W17" s="49">
        <v>0.007193</v>
      </c>
      <c r="X17" s="50">
        <v>0.002115</v>
      </c>
      <c r="Y17" s="50">
        <v>0.001479</v>
      </c>
      <c r="Z17" s="50">
        <v>0.001268</v>
      </c>
      <c r="AA17" s="50">
        <v>0.000632</v>
      </c>
      <c r="AB17" s="50">
        <v>0.006601</v>
      </c>
      <c r="AC17" s="51">
        <v>0.006497</v>
      </c>
    </row>
    <row r="18" s="5" customFormat="1" ht="14.25" spans="1:29">
      <c r="A18" s="15" t="s">
        <v>46</v>
      </c>
      <c r="B18" s="16" t="s">
        <v>47</v>
      </c>
      <c r="C18" s="17">
        <v>1</v>
      </c>
      <c r="D18" s="18">
        <v>0.1</v>
      </c>
      <c r="E18" s="19">
        <v>6.501</v>
      </c>
      <c r="F18" s="20">
        <v>0.251</v>
      </c>
      <c r="G18" s="20">
        <v>0.0515</v>
      </c>
      <c r="H18" s="21">
        <f t="shared" si="1"/>
        <v>0.5115</v>
      </c>
      <c r="I18" s="22">
        <v>0.05115</v>
      </c>
      <c r="J18" s="23">
        <v>-0.01446</v>
      </c>
      <c r="K18" s="23">
        <v>-0.00948</v>
      </c>
      <c r="L18" s="23">
        <v>-0.0071</v>
      </c>
      <c r="M18" s="23">
        <v>-0.006</v>
      </c>
      <c r="N18" s="23">
        <v>0.00027</v>
      </c>
      <c r="O18" s="24">
        <v>0.00044</v>
      </c>
      <c r="P18" s="22">
        <v>-0.005107</v>
      </c>
      <c r="Q18" s="23">
        <v>0.001423</v>
      </c>
      <c r="R18" s="23">
        <v>0.00094</v>
      </c>
      <c r="S18" s="23">
        <v>0.000683</v>
      </c>
      <c r="T18" s="23">
        <v>0.000768</v>
      </c>
      <c r="U18" s="23">
        <v>-3.6e-5</v>
      </c>
      <c r="V18" s="24">
        <v>-6.5e-5</v>
      </c>
      <c r="W18" s="22">
        <v>0.003497</v>
      </c>
      <c r="X18" s="23">
        <v>0.000986</v>
      </c>
      <c r="Y18" s="23">
        <v>0.000515</v>
      </c>
      <c r="Z18" s="23">
        <v>0.000449</v>
      </c>
      <c r="AA18" s="23">
        <v>0.000478</v>
      </c>
      <c r="AB18" s="23">
        <v>0.003594</v>
      </c>
      <c r="AC18" s="24">
        <v>0.003251</v>
      </c>
    </row>
    <row r="19" ht="14.25" spans="1:29">
      <c r="A19" s="15" t="s">
        <v>48</v>
      </c>
      <c r="B19" s="25" t="s">
        <v>47</v>
      </c>
      <c r="C19" s="26">
        <v>1</v>
      </c>
      <c r="D19" s="27">
        <v>0.15</v>
      </c>
      <c r="E19" s="28">
        <v>12.618</v>
      </c>
      <c r="F19" s="29">
        <v>0.384</v>
      </c>
      <c r="G19" s="29">
        <v>0.0772</v>
      </c>
      <c r="H19" s="30">
        <f t="shared" si="1"/>
        <v>0.5112</v>
      </c>
      <c r="I19" s="31">
        <v>0.07668</v>
      </c>
      <c r="J19" s="32">
        <v>-0.02217</v>
      </c>
      <c r="K19" s="32">
        <v>-0.01675</v>
      </c>
      <c r="L19" s="32">
        <v>-0.01224</v>
      </c>
      <c r="M19" s="32">
        <v>-0.00861</v>
      </c>
      <c r="N19" s="32">
        <v>0.00022</v>
      </c>
      <c r="O19" s="33">
        <v>0.00118</v>
      </c>
      <c r="P19" s="31">
        <v>-0.007574</v>
      </c>
      <c r="Q19" s="32">
        <v>0.002188</v>
      </c>
      <c r="R19" s="32">
        <v>0.001647</v>
      </c>
      <c r="S19" s="32">
        <v>0.001205</v>
      </c>
      <c r="T19" s="32">
        <v>0.001228</v>
      </c>
      <c r="U19" s="32">
        <v>-2.4e-5</v>
      </c>
      <c r="V19" s="33">
        <v>-0.000132</v>
      </c>
      <c r="W19" s="31">
        <v>0.003865</v>
      </c>
      <c r="X19" s="32">
        <v>0.001276</v>
      </c>
      <c r="Y19" s="32">
        <v>0.000722</v>
      </c>
      <c r="Z19" s="32">
        <v>0.000728</v>
      </c>
      <c r="AA19" s="32">
        <v>0.000892</v>
      </c>
      <c r="AB19" s="32">
        <v>0.004077</v>
      </c>
      <c r="AC19" s="33">
        <v>0.003422</v>
      </c>
    </row>
    <row r="20" ht="14.25" spans="1:29">
      <c r="A20" s="15" t="s">
        <v>49</v>
      </c>
      <c r="B20" s="25" t="s">
        <v>47</v>
      </c>
      <c r="C20" s="26">
        <v>1</v>
      </c>
      <c r="D20" s="27">
        <v>0.18</v>
      </c>
      <c r="E20" s="28">
        <v>17.922</v>
      </c>
      <c r="F20" s="29">
        <v>0.462</v>
      </c>
      <c r="G20" s="29">
        <v>0.0919</v>
      </c>
      <c r="H20" s="30">
        <f t="shared" si="1"/>
        <v>0.507611111111111</v>
      </c>
      <c r="I20" s="31">
        <v>0.09137</v>
      </c>
      <c r="J20" s="32">
        <v>-0.0243</v>
      </c>
      <c r="K20" s="32">
        <v>-0.01883</v>
      </c>
      <c r="L20" s="32">
        <v>-0.01425</v>
      </c>
      <c r="M20" s="32">
        <v>-0.00984</v>
      </c>
      <c r="N20" s="32">
        <v>-0.0012</v>
      </c>
      <c r="O20" s="33">
        <v>-0.00265</v>
      </c>
      <c r="P20" s="31">
        <v>-0.00883</v>
      </c>
      <c r="Q20" s="32">
        <v>0.002318</v>
      </c>
      <c r="R20" s="32">
        <v>0.001842</v>
      </c>
      <c r="S20" s="32">
        <v>0.001376</v>
      </c>
      <c r="T20" s="32">
        <v>0.001191</v>
      </c>
      <c r="U20" s="32">
        <v>0.000146</v>
      </c>
      <c r="V20" s="33">
        <v>0.000278</v>
      </c>
      <c r="W20" s="31">
        <v>0.005216</v>
      </c>
      <c r="X20" s="32">
        <v>0.001491</v>
      </c>
      <c r="Y20" s="32">
        <v>0.001344</v>
      </c>
      <c r="Z20" s="32">
        <v>0.000914</v>
      </c>
      <c r="AA20" s="32">
        <v>0.000843</v>
      </c>
      <c r="AB20" s="32">
        <v>0.004325</v>
      </c>
      <c r="AC20" s="33">
        <v>0.00414</v>
      </c>
    </row>
    <row r="21" ht="14.25" spans="1:29">
      <c r="A21" s="15" t="s">
        <v>50</v>
      </c>
      <c r="B21" s="25" t="s">
        <v>47</v>
      </c>
      <c r="C21" s="26">
        <v>1</v>
      </c>
      <c r="D21" s="27">
        <v>0.2</v>
      </c>
      <c r="E21" s="28">
        <v>22.697</v>
      </c>
      <c r="F21" s="29">
        <v>0.494</v>
      </c>
      <c r="G21" s="29">
        <v>0.0983</v>
      </c>
      <c r="H21" s="30">
        <f t="shared" si="1"/>
        <v>0.48785</v>
      </c>
      <c r="I21" s="31">
        <v>0.09757</v>
      </c>
      <c r="J21" s="32">
        <v>-0.02564</v>
      </c>
      <c r="K21" s="32">
        <v>-0.01568</v>
      </c>
      <c r="L21" s="32">
        <v>-0.01442</v>
      </c>
      <c r="M21" s="32">
        <v>-0.0116</v>
      </c>
      <c r="N21" s="32">
        <v>-0.00174</v>
      </c>
      <c r="O21" s="33">
        <v>0.00172</v>
      </c>
      <c r="P21" s="31">
        <v>-0.009599</v>
      </c>
      <c r="Q21" s="32">
        <v>0.002444</v>
      </c>
      <c r="R21" s="32">
        <v>0.001543</v>
      </c>
      <c r="S21" s="32">
        <v>0.001406</v>
      </c>
      <c r="T21" s="32">
        <v>0.001706</v>
      </c>
      <c r="U21" s="32">
        <v>0.00025</v>
      </c>
      <c r="V21" s="33">
        <v>-0.000224</v>
      </c>
      <c r="W21" s="31">
        <v>0.006501</v>
      </c>
      <c r="X21" s="32">
        <v>0.001265</v>
      </c>
      <c r="Y21" s="32">
        <v>0.00073</v>
      </c>
      <c r="Z21" s="32">
        <v>0.000599</v>
      </c>
      <c r="AA21" s="32">
        <v>0.001278</v>
      </c>
      <c r="AB21" s="32">
        <v>0.006432</v>
      </c>
      <c r="AC21" s="33">
        <v>0.005069</v>
      </c>
    </row>
    <row r="22" s="3" customFormat="1" ht="14.25" spans="1:29">
      <c r="A22" s="15" t="s">
        <v>51</v>
      </c>
      <c r="B22" s="34" t="s">
        <v>47</v>
      </c>
      <c r="C22" s="35">
        <v>0.66</v>
      </c>
      <c r="D22" s="36">
        <v>0.1</v>
      </c>
      <c r="E22" s="37">
        <v>8.683</v>
      </c>
      <c r="F22" s="38">
        <v>0.239</v>
      </c>
      <c r="G22" s="38">
        <v>0.0547</v>
      </c>
      <c r="H22" s="39">
        <f t="shared" si="1"/>
        <v>0.5386</v>
      </c>
      <c r="I22" s="40">
        <v>0.05386</v>
      </c>
      <c r="J22" s="41">
        <v>-0.016288</v>
      </c>
      <c r="K22" s="41">
        <v>-0.010674</v>
      </c>
      <c r="L22" s="41">
        <v>-0.007568</v>
      </c>
      <c r="M22" s="41">
        <v>-0.006631</v>
      </c>
      <c r="N22" s="41">
        <v>0.000295</v>
      </c>
      <c r="O22" s="42">
        <v>0.000459</v>
      </c>
      <c r="P22" s="40">
        <v>-0.007474</v>
      </c>
      <c r="Q22" s="41">
        <v>0.002007</v>
      </c>
      <c r="R22" s="41">
        <v>0.001433</v>
      </c>
      <c r="S22" s="41">
        <v>0.00111</v>
      </c>
      <c r="T22" s="41">
        <v>0.00094</v>
      </c>
      <c r="U22" s="41">
        <v>-3.8e-5</v>
      </c>
      <c r="V22" s="42">
        <v>-5.7e-5</v>
      </c>
      <c r="W22" s="40">
        <v>0.005963</v>
      </c>
      <c r="X22" s="41">
        <v>0.001442</v>
      </c>
      <c r="Y22" s="41">
        <v>0.000662</v>
      </c>
      <c r="Z22" s="41">
        <v>0.000558</v>
      </c>
      <c r="AA22" s="41">
        <v>0.000532</v>
      </c>
      <c r="AB22" s="41">
        <v>0.004247</v>
      </c>
      <c r="AC22" s="42">
        <v>0.00273</v>
      </c>
    </row>
    <row r="23" s="3" customFormat="1" ht="14.25" spans="1:29">
      <c r="A23" s="15" t="s">
        <v>52</v>
      </c>
      <c r="B23" s="34" t="s">
        <v>47</v>
      </c>
      <c r="C23" s="35">
        <v>0.66</v>
      </c>
      <c r="D23" s="36">
        <v>0.15</v>
      </c>
      <c r="E23" s="37">
        <v>14.314</v>
      </c>
      <c r="F23" s="38">
        <v>0.362</v>
      </c>
      <c r="G23" s="38">
        <v>0.0801</v>
      </c>
      <c r="H23" s="39">
        <f t="shared" si="1"/>
        <v>0.529593333333333</v>
      </c>
      <c r="I23" s="40">
        <v>0.079439</v>
      </c>
      <c r="J23" s="41">
        <v>-0.021526</v>
      </c>
      <c r="K23" s="41">
        <v>-0.01784</v>
      </c>
      <c r="L23" s="41">
        <v>-0.012221</v>
      </c>
      <c r="M23" s="41">
        <v>-0.009037</v>
      </c>
      <c r="N23" s="41">
        <v>0.00023</v>
      </c>
      <c r="O23" s="42">
        <v>0.001312</v>
      </c>
      <c r="P23" s="40">
        <v>-0.009143</v>
      </c>
      <c r="Q23" s="41">
        <v>0.002588</v>
      </c>
      <c r="R23" s="41">
        <v>0.002286</v>
      </c>
      <c r="S23" s="41">
        <v>0.001593</v>
      </c>
      <c r="T23" s="41">
        <v>0.001125</v>
      </c>
      <c r="U23" s="41">
        <v>-3.1e-5</v>
      </c>
      <c r="V23" s="42">
        <v>-0.000154</v>
      </c>
      <c r="W23" s="40">
        <v>0.004001</v>
      </c>
      <c r="X23" s="41">
        <v>0.00165</v>
      </c>
      <c r="Y23" s="41">
        <v>0.000983</v>
      </c>
      <c r="Z23" s="41">
        <v>0.000928</v>
      </c>
      <c r="AA23" s="41">
        <v>0.000777</v>
      </c>
      <c r="AB23" s="41">
        <v>0.004999</v>
      </c>
      <c r="AC23" s="42">
        <v>0.004797</v>
      </c>
    </row>
    <row r="24" s="3" customFormat="1" ht="14.25" spans="1:29">
      <c r="A24" s="15" t="s">
        <v>53</v>
      </c>
      <c r="B24" s="34" t="s">
        <v>47</v>
      </c>
      <c r="C24" s="35">
        <v>0.66</v>
      </c>
      <c r="D24" s="36">
        <v>0.18</v>
      </c>
      <c r="E24" s="37">
        <v>20.527</v>
      </c>
      <c r="F24" s="38">
        <v>0.435</v>
      </c>
      <c r="G24" s="38">
        <v>0.0962</v>
      </c>
      <c r="H24" s="39">
        <f t="shared" si="1"/>
        <v>0.527738888888889</v>
      </c>
      <c r="I24" s="40">
        <v>0.094993</v>
      </c>
      <c r="J24" s="41">
        <v>-0.024058</v>
      </c>
      <c r="K24" s="41">
        <v>-0.02014</v>
      </c>
      <c r="L24" s="41">
        <v>-0.015704</v>
      </c>
      <c r="M24" s="41">
        <v>-0.009632</v>
      </c>
      <c r="N24" s="41">
        <v>-0.001192</v>
      </c>
      <c r="O24" s="42">
        <v>-0.002728</v>
      </c>
      <c r="P24" s="40">
        <v>-0.01246</v>
      </c>
      <c r="Q24" s="41">
        <v>0.003576</v>
      </c>
      <c r="R24" s="41">
        <v>0.002614</v>
      </c>
      <c r="S24" s="41">
        <v>0.002169</v>
      </c>
      <c r="T24" s="41">
        <v>0.001374</v>
      </c>
      <c r="U24" s="41">
        <v>0.000152</v>
      </c>
      <c r="V24" s="42">
        <v>0.000317</v>
      </c>
      <c r="W24" s="40">
        <v>0.0085</v>
      </c>
      <c r="X24" s="41">
        <v>0.002403</v>
      </c>
      <c r="Y24" s="41">
        <v>0.001405</v>
      </c>
      <c r="Z24" s="41">
        <v>0.001624</v>
      </c>
      <c r="AA24" s="41">
        <v>0.000714</v>
      </c>
      <c r="AB24" s="41">
        <v>0.005091</v>
      </c>
      <c r="AC24" s="42">
        <v>0.00514</v>
      </c>
    </row>
    <row r="25" s="3" customFormat="1" ht="14.25" spans="1:29">
      <c r="A25" s="15" t="s">
        <v>54</v>
      </c>
      <c r="B25" s="34" t="s">
        <v>47</v>
      </c>
      <c r="C25" s="35">
        <v>0.66</v>
      </c>
      <c r="D25" s="36">
        <v>0.2</v>
      </c>
      <c r="E25" s="37">
        <v>25.66</v>
      </c>
      <c r="F25" s="38">
        <v>0.495</v>
      </c>
      <c r="G25" s="38">
        <v>0.1085</v>
      </c>
      <c r="H25" s="39">
        <f t="shared" si="1"/>
        <v>0.53584</v>
      </c>
      <c r="I25" s="40">
        <v>0.107168</v>
      </c>
      <c r="J25" s="41">
        <v>-0.026541</v>
      </c>
      <c r="K25" s="41">
        <v>-0.016865</v>
      </c>
      <c r="L25" s="41">
        <v>-0.016575</v>
      </c>
      <c r="M25" s="41">
        <v>-0.011792</v>
      </c>
      <c r="N25" s="41">
        <v>-0.001885</v>
      </c>
      <c r="O25" s="42">
        <v>0.001884</v>
      </c>
      <c r="P25" s="40">
        <v>-0.014248</v>
      </c>
      <c r="Q25" s="41">
        <v>0.003487</v>
      </c>
      <c r="R25" s="41">
        <v>0.001945</v>
      </c>
      <c r="S25" s="41">
        <v>0.002305</v>
      </c>
      <c r="T25" s="41">
        <v>0.001555</v>
      </c>
      <c r="U25" s="41">
        <v>0.000235</v>
      </c>
      <c r="V25" s="42">
        <v>-0.000266</v>
      </c>
      <c r="W25" s="40">
        <v>0.009531</v>
      </c>
      <c r="X25" s="41">
        <v>0.002201</v>
      </c>
      <c r="Y25" s="41">
        <v>0.001458</v>
      </c>
      <c r="Z25" s="41">
        <v>0.00122</v>
      </c>
      <c r="AA25" s="41">
        <v>0.000819</v>
      </c>
      <c r="AB25" s="41">
        <v>0.007026</v>
      </c>
      <c r="AC25" s="42">
        <v>0.006357</v>
      </c>
    </row>
    <row r="26" ht="14.25" spans="1:29">
      <c r="A26" s="15" t="s">
        <v>55</v>
      </c>
      <c r="B26" s="25" t="s">
        <v>47</v>
      </c>
      <c r="C26" s="26">
        <v>0.58</v>
      </c>
      <c r="D26" s="27">
        <v>0.1</v>
      </c>
      <c r="E26" s="28">
        <v>11.023</v>
      </c>
      <c r="F26" s="29">
        <v>0.216</v>
      </c>
      <c r="G26" s="29">
        <v>0.0514</v>
      </c>
      <c r="H26" s="30">
        <f t="shared" si="1"/>
        <v>0.49887</v>
      </c>
      <c r="I26" s="31">
        <v>0.049887</v>
      </c>
      <c r="J26" s="32">
        <v>-0.014028</v>
      </c>
      <c r="K26" s="32">
        <v>-0.009848</v>
      </c>
      <c r="L26" s="32">
        <v>-0.00714</v>
      </c>
      <c r="M26" s="32">
        <v>-0.005523</v>
      </c>
      <c r="N26" s="32">
        <v>0.000281</v>
      </c>
      <c r="O26" s="33">
        <v>0.000443</v>
      </c>
      <c r="P26" s="31">
        <v>-0.010482</v>
      </c>
      <c r="Q26" s="32">
        <v>0.002642</v>
      </c>
      <c r="R26" s="32">
        <v>0.001865</v>
      </c>
      <c r="S26" s="32">
        <v>0.001427</v>
      </c>
      <c r="T26" s="32">
        <v>0.001176</v>
      </c>
      <c r="U26" s="32">
        <v>-5.6e-5</v>
      </c>
      <c r="V26" s="33">
        <v>-9.2e-5</v>
      </c>
      <c r="W26" s="31">
        <v>0.006392</v>
      </c>
      <c r="X26" s="32">
        <v>0.002082</v>
      </c>
      <c r="Y26" s="32">
        <v>0.001228</v>
      </c>
      <c r="Z26" s="32">
        <v>0.000914</v>
      </c>
      <c r="AA26" s="32">
        <v>0.000807</v>
      </c>
      <c r="AB26" s="32">
        <v>0.003652</v>
      </c>
      <c r="AC26" s="33">
        <v>0.004173</v>
      </c>
    </row>
    <row r="27" ht="14.25" spans="1:29">
      <c r="A27" s="15" t="s">
        <v>56</v>
      </c>
      <c r="B27" s="25" t="s">
        <v>47</v>
      </c>
      <c r="C27" s="26">
        <v>0.58</v>
      </c>
      <c r="D27" s="27">
        <v>0.15</v>
      </c>
      <c r="E27" s="28">
        <v>16.478</v>
      </c>
      <c r="F27" s="29">
        <v>0.344</v>
      </c>
      <c r="G27" s="29">
        <v>0.0802</v>
      </c>
      <c r="H27" s="30">
        <f t="shared" si="1"/>
        <v>0.51882</v>
      </c>
      <c r="I27" s="31">
        <v>0.077823</v>
      </c>
      <c r="J27" s="32">
        <v>-0.021719</v>
      </c>
      <c r="K27" s="32">
        <v>-0.016958</v>
      </c>
      <c r="L27" s="32">
        <v>-0.012917</v>
      </c>
      <c r="M27" s="32">
        <v>-0.008096</v>
      </c>
      <c r="N27" s="32">
        <v>0.000236</v>
      </c>
      <c r="O27" s="33">
        <v>0.00124</v>
      </c>
      <c r="P27" s="31">
        <v>-0.016483</v>
      </c>
      <c r="Q27" s="32">
        <v>0.004506</v>
      </c>
      <c r="R27" s="32">
        <v>0.003643</v>
      </c>
      <c r="S27" s="32">
        <v>0.002597</v>
      </c>
      <c r="T27" s="32">
        <v>0.001577</v>
      </c>
      <c r="U27" s="32">
        <v>-4.8e-5</v>
      </c>
      <c r="V27" s="33">
        <v>-0.000259</v>
      </c>
      <c r="W27" s="31">
        <v>0.01049</v>
      </c>
      <c r="X27" s="32">
        <v>0.00296</v>
      </c>
      <c r="Y27" s="32">
        <v>0.002566</v>
      </c>
      <c r="Z27" s="32">
        <v>0.001349</v>
      </c>
      <c r="AA27" s="32">
        <v>0.000883</v>
      </c>
      <c r="AB27" s="32">
        <v>0.005525</v>
      </c>
      <c r="AC27" s="33">
        <v>0.008843</v>
      </c>
    </row>
    <row r="28" ht="14.25" spans="1:29">
      <c r="A28" s="15" t="s">
        <v>57</v>
      </c>
      <c r="B28" s="25" t="s">
        <v>47</v>
      </c>
      <c r="C28" s="26">
        <v>0.58</v>
      </c>
      <c r="D28" s="27">
        <v>0.18</v>
      </c>
      <c r="E28" s="28">
        <v>21.067</v>
      </c>
      <c r="F28" s="29">
        <v>0.407</v>
      </c>
      <c r="G28" s="29">
        <v>0.0939</v>
      </c>
      <c r="H28" s="30">
        <f t="shared" si="1"/>
        <v>0.505338888888889</v>
      </c>
      <c r="I28" s="31">
        <v>0.090961</v>
      </c>
      <c r="J28" s="32">
        <v>-0.023541</v>
      </c>
      <c r="K28" s="32">
        <v>-0.017889</v>
      </c>
      <c r="L28" s="32">
        <v>-0.013894</v>
      </c>
      <c r="M28" s="32">
        <v>-0.009495</v>
      </c>
      <c r="N28" s="32">
        <v>-0.001128</v>
      </c>
      <c r="O28" s="33">
        <v>-0.002604</v>
      </c>
      <c r="P28" s="31">
        <v>-0.019762</v>
      </c>
      <c r="Q28" s="32">
        <v>0.004479</v>
      </c>
      <c r="R28" s="32">
        <v>0.00341</v>
      </c>
      <c r="S28" s="32">
        <v>0.003028</v>
      </c>
      <c r="T28" s="32">
        <v>0.001765</v>
      </c>
      <c r="U28" s="32">
        <v>0.000214</v>
      </c>
      <c r="V28" s="33">
        <v>0.000524</v>
      </c>
      <c r="W28" s="31">
        <v>0.012223</v>
      </c>
      <c r="X28" s="32">
        <v>0.002988</v>
      </c>
      <c r="Y28" s="32">
        <v>0.002724</v>
      </c>
      <c r="Z28" s="32">
        <v>0.001994</v>
      </c>
      <c r="AA28" s="32">
        <v>0.00074</v>
      </c>
      <c r="AB28" s="32">
        <v>0.005663</v>
      </c>
      <c r="AC28" s="33">
        <v>0.009445</v>
      </c>
    </row>
    <row r="29" ht="14.25" spans="1:29">
      <c r="A29" s="15" t="s">
        <v>58</v>
      </c>
      <c r="B29" s="25" t="s">
        <v>47</v>
      </c>
      <c r="C29" s="26">
        <v>0.58</v>
      </c>
      <c r="D29" s="27">
        <v>0.2</v>
      </c>
      <c r="E29" s="28">
        <v>24.775</v>
      </c>
      <c r="F29" s="29">
        <v>0.424</v>
      </c>
      <c r="G29" s="29">
        <v>0.0979</v>
      </c>
      <c r="H29" s="30">
        <f t="shared" si="1"/>
        <v>0.47528</v>
      </c>
      <c r="I29" s="31">
        <v>0.095056</v>
      </c>
      <c r="J29" s="32">
        <v>-0.025028</v>
      </c>
      <c r="K29" s="32">
        <v>-0.016395</v>
      </c>
      <c r="L29" s="32">
        <v>-0.013243</v>
      </c>
      <c r="M29" s="32">
        <v>-0.01122</v>
      </c>
      <c r="N29" s="32">
        <v>-0.001672</v>
      </c>
      <c r="O29" s="33">
        <v>0.001625</v>
      </c>
      <c r="P29" s="31">
        <v>-0.019072</v>
      </c>
      <c r="Q29" s="32">
        <v>0.004906</v>
      </c>
      <c r="R29" s="32">
        <v>0.003331</v>
      </c>
      <c r="S29" s="32">
        <v>0.002582</v>
      </c>
      <c r="T29" s="32">
        <v>0.002247</v>
      </c>
      <c r="U29" s="32">
        <v>0.000355</v>
      </c>
      <c r="V29" s="33">
        <v>-0.000319</v>
      </c>
      <c r="W29" s="31">
        <v>0.013535</v>
      </c>
      <c r="X29" s="32">
        <v>0.003786</v>
      </c>
      <c r="Y29" s="32">
        <v>0.002421</v>
      </c>
      <c r="Z29" s="32">
        <v>0.001314</v>
      </c>
      <c r="AA29" s="32">
        <v>0.001769</v>
      </c>
      <c r="AB29" s="32">
        <v>0.005539</v>
      </c>
      <c r="AC29" s="33">
        <v>0.009118</v>
      </c>
    </row>
    <row r="30" s="3" customFormat="1" ht="14.25" spans="1:29">
      <c r="A30" s="15" t="s">
        <v>59</v>
      </c>
      <c r="B30" s="34" t="s">
        <v>47</v>
      </c>
      <c r="C30" s="35">
        <v>0.5</v>
      </c>
      <c r="D30" s="36">
        <v>0.1</v>
      </c>
      <c r="E30" s="37">
        <v>10.729</v>
      </c>
      <c r="F30" s="38">
        <v>0.205</v>
      </c>
      <c r="G30" s="38">
        <v>0.0524</v>
      </c>
      <c r="H30" s="39">
        <f t="shared" si="1"/>
        <v>0.50303</v>
      </c>
      <c r="I30" s="40">
        <v>0.050303</v>
      </c>
      <c r="J30" s="41">
        <v>-0.015252</v>
      </c>
      <c r="K30" s="41">
        <v>-0.009282</v>
      </c>
      <c r="L30" s="41">
        <v>-0.006534</v>
      </c>
      <c r="M30" s="41">
        <v>-0.005564</v>
      </c>
      <c r="N30" s="41">
        <v>0.000252</v>
      </c>
      <c r="O30" s="42">
        <v>0.000416</v>
      </c>
      <c r="P30" s="40">
        <v>-0.013522</v>
      </c>
      <c r="Q30" s="41">
        <v>0.004252</v>
      </c>
      <c r="R30" s="41">
        <v>0.002484</v>
      </c>
      <c r="S30" s="41">
        <v>0.001726</v>
      </c>
      <c r="T30" s="41">
        <v>0.001443</v>
      </c>
      <c r="U30" s="41">
        <v>-6.9e-5</v>
      </c>
      <c r="V30" s="42">
        <v>-0.000105</v>
      </c>
      <c r="W30" s="40">
        <v>0.00609</v>
      </c>
      <c r="X30" s="41">
        <v>0.001836</v>
      </c>
      <c r="Y30" s="41">
        <v>0.001596</v>
      </c>
      <c r="Z30" s="41">
        <v>0.000879</v>
      </c>
      <c r="AA30" s="41">
        <v>0.000658</v>
      </c>
      <c r="AB30" s="41">
        <v>0.00482</v>
      </c>
      <c r="AC30" s="42">
        <v>0.006111</v>
      </c>
    </row>
    <row r="31" s="3" customFormat="1" ht="14.25" spans="1:29">
      <c r="A31" s="15" t="s">
        <v>60</v>
      </c>
      <c r="B31" s="34" t="s">
        <v>47</v>
      </c>
      <c r="C31" s="35">
        <v>0.5</v>
      </c>
      <c r="D31" s="36">
        <v>0.15</v>
      </c>
      <c r="E31" s="37">
        <v>17.632</v>
      </c>
      <c r="F31" s="38">
        <v>0.316</v>
      </c>
      <c r="G31" s="38">
        <v>0.079</v>
      </c>
      <c r="H31" s="39">
        <f t="shared" si="1"/>
        <v>0.502513333333333</v>
      </c>
      <c r="I31" s="40">
        <v>0.075377</v>
      </c>
      <c r="J31" s="41">
        <v>-0.022627</v>
      </c>
      <c r="K31" s="41">
        <v>-0.017587</v>
      </c>
      <c r="L31" s="41">
        <v>-0.01173</v>
      </c>
      <c r="M31" s="41">
        <v>-0.008604</v>
      </c>
      <c r="N31" s="41">
        <v>0.000227</v>
      </c>
      <c r="O31" s="42">
        <v>0.001177</v>
      </c>
      <c r="P31" s="40">
        <v>-0.019541</v>
      </c>
      <c r="Q31" s="41">
        <v>0.005995</v>
      </c>
      <c r="R31" s="41">
        <v>0.004849</v>
      </c>
      <c r="S31" s="41">
        <v>0.002949</v>
      </c>
      <c r="T31" s="41">
        <v>0.00226</v>
      </c>
      <c r="U31" s="41">
        <v>-5.9e-5</v>
      </c>
      <c r="V31" s="42">
        <v>-0.000303</v>
      </c>
      <c r="W31" s="40">
        <v>0.013406</v>
      </c>
      <c r="X31" s="41">
        <v>0.003653</v>
      </c>
      <c r="Y31" s="41">
        <v>0.002195</v>
      </c>
      <c r="Z31" s="41">
        <v>0.00159</v>
      </c>
      <c r="AA31" s="41">
        <v>0.001144</v>
      </c>
      <c r="AB31" s="41">
        <v>0.005096</v>
      </c>
      <c r="AC31" s="42">
        <v>0.009366</v>
      </c>
    </row>
    <row r="32" s="3" customFormat="1" ht="14.25" spans="1:29">
      <c r="A32" s="15" t="s">
        <v>61</v>
      </c>
      <c r="B32" s="34" t="s">
        <v>47</v>
      </c>
      <c r="C32" s="35">
        <v>0.5</v>
      </c>
      <c r="D32" s="36">
        <v>0.18</v>
      </c>
      <c r="E32" s="37">
        <v>20.188</v>
      </c>
      <c r="F32" s="38">
        <v>0.328</v>
      </c>
      <c r="G32" s="38">
        <v>0.0819</v>
      </c>
      <c r="H32" s="39">
        <f t="shared" si="1"/>
        <v>0.434788888888889</v>
      </c>
      <c r="I32" s="40">
        <v>0.078262</v>
      </c>
      <c r="J32" s="41">
        <v>-0.019915</v>
      </c>
      <c r="K32" s="41">
        <v>-0.016192</v>
      </c>
      <c r="L32" s="41">
        <v>-0.011836</v>
      </c>
      <c r="M32" s="41">
        <v>-0.008234</v>
      </c>
      <c r="N32" s="41">
        <v>-0.001072</v>
      </c>
      <c r="O32" s="42">
        <v>-0.002145</v>
      </c>
      <c r="P32" s="40">
        <v>-0.020051</v>
      </c>
      <c r="Q32" s="41">
        <v>0.005078</v>
      </c>
      <c r="R32" s="41">
        <v>0.00399</v>
      </c>
      <c r="S32" s="41">
        <v>0.003051</v>
      </c>
      <c r="T32" s="41">
        <v>0.002203</v>
      </c>
      <c r="U32" s="41">
        <v>0.000272</v>
      </c>
      <c r="V32" s="42">
        <v>0.000561</v>
      </c>
      <c r="W32" s="40">
        <v>0.013187</v>
      </c>
      <c r="X32" s="41">
        <v>0.003081</v>
      </c>
      <c r="Y32" s="41">
        <v>0.002895</v>
      </c>
      <c r="Z32" s="41">
        <v>0.001421</v>
      </c>
      <c r="AA32" s="41">
        <v>0.001444</v>
      </c>
      <c r="AB32" s="41">
        <v>0.010646</v>
      </c>
      <c r="AC32" s="42">
        <v>0.007022</v>
      </c>
    </row>
    <row r="33" s="4" customFormat="1" ht="14.25" spans="1:29">
      <c r="A33" s="15" t="s">
        <v>62</v>
      </c>
      <c r="B33" s="43" t="s">
        <v>47</v>
      </c>
      <c r="C33" s="44">
        <v>0.5</v>
      </c>
      <c r="D33" s="45">
        <v>0.2</v>
      </c>
      <c r="E33" s="46">
        <v>24.225</v>
      </c>
      <c r="F33" s="47">
        <v>0.402</v>
      </c>
      <c r="G33" s="47">
        <v>0.0991</v>
      </c>
      <c r="H33" s="48">
        <f t="shared" si="1"/>
        <v>0.472015</v>
      </c>
      <c r="I33" s="49">
        <v>0.094403</v>
      </c>
      <c r="J33" s="50">
        <v>-0.02423</v>
      </c>
      <c r="K33" s="50">
        <v>-0.016106</v>
      </c>
      <c r="L33" s="50">
        <v>-0.014836</v>
      </c>
      <c r="M33" s="50">
        <v>-0.011954</v>
      </c>
      <c r="N33" s="50">
        <v>-0.001724</v>
      </c>
      <c r="O33" s="51">
        <v>0.001702</v>
      </c>
      <c r="P33" s="49">
        <v>-0.024095</v>
      </c>
      <c r="Q33" s="50">
        <v>0.006656</v>
      </c>
      <c r="R33" s="50">
        <v>0.004325</v>
      </c>
      <c r="S33" s="50">
        <v>0.004104</v>
      </c>
      <c r="T33" s="50">
        <v>0.003232</v>
      </c>
      <c r="U33" s="50">
        <v>0.000439</v>
      </c>
      <c r="V33" s="51">
        <v>-0.000418</v>
      </c>
      <c r="W33" s="49">
        <v>0.017859</v>
      </c>
      <c r="X33" s="50">
        <v>0.00383</v>
      </c>
      <c r="Y33" s="50">
        <v>0.003432</v>
      </c>
      <c r="Z33" s="50">
        <v>0.001765</v>
      </c>
      <c r="AA33" s="50">
        <v>0.002095</v>
      </c>
      <c r="AB33" s="50">
        <v>0.012693</v>
      </c>
      <c r="AC33" s="51">
        <v>0.011082</v>
      </c>
    </row>
    <row r="34" s="5" customFormat="1" ht="16.5" spans="1:29">
      <c r="A34" s="52" t="s">
        <v>63</v>
      </c>
      <c r="B34" s="16" t="s">
        <v>64</v>
      </c>
      <c r="C34" s="17">
        <v>1</v>
      </c>
      <c r="D34" s="18">
        <v>0.1</v>
      </c>
      <c r="E34" s="19">
        <v>10.345</v>
      </c>
      <c r="F34" s="20">
        <v>0.266</v>
      </c>
      <c r="G34" s="20">
        <v>0.0546</v>
      </c>
      <c r="H34" s="21">
        <f t="shared" si="1"/>
        <v>0.5313</v>
      </c>
      <c r="I34" s="22">
        <v>0.05313</v>
      </c>
      <c r="J34" s="23">
        <v>-0.01931</v>
      </c>
      <c r="K34" s="23">
        <v>-0.01151</v>
      </c>
      <c r="L34" s="23">
        <v>-0.01127</v>
      </c>
      <c r="M34" s="23">
        <v>-0.00656</v>
      </c>
      <c r="N34" s="23">
        <v>-0.00512</v>
      </c>
      <c r="O34" s="24">
        <v>-0.00636</v>
      </c>
      <c r="P34" s="22">
        <v>-0.010107</v>
      </c>
      <c r="Q34" s="23">
        <v>0.00388</v>
      </c>
      <c r="R34" s="23">
        <v>0.002514</v>
      </c>
      <c r="S34" s="23">
        <v>0.00298</v>
      </c>
      <c r="T34" s="23">
        <v>0.002095</v>
      </c>
      <c r="U34" s="23">
        <v>0.001601</v>
      </c>
      <c r="V34" s="24">
        <v>0.002202</v>
      </c>
      <c r="W34" s="22">
        <v>0.00756</v>
      </c>
      <c r="X34" s="23">
        <v>0.002587</v>
      </c>
      <c r="Y34" s="23">
        <v>0.001582</v>
      </c>
      <c r="Z34" s="23">
        <v>0.002048</v>
      </c>
      <c r="AA34" s="23">
        <v>0.001613</v>
      </c>
      <c r="AB34" s="23">
        <v>0.007204</v>
      </c>
      <c r="AC34" s="24">
        <v>0.005968</v>
      </c>
    </row>
    <row r="35" ht="16.5" spans="1:29">
      <c r="A35" s="52" t="s">
        <v>65</v>
      </c>
      <c r="B35" s="25" t="s">
        <v>64</v>
      </c>
      <c r="C35" s="26">
        <v>1</v>
      </c>
      <c r="D35" s="27">
        <v>0.15</v>
      </c>
      <c r="E35" s="28">
        <v>17.96</v>
      </c>
      <c r="F35" s="29">
        <v>0.407</v>
      </c>
      <c r="G35" s="29">
        <v>0.0813</v>
      </c>
      <c r="H35" s="30">
        <f t="shared" si="1"/>
        <v>0.531266666666667</v>
      </c>
      <c r="I35" s="31">
        <v>0.07969</v>
      </c>
      <c r="J35" s="32">
        <v>-0.0276</v>
      </c>
      <c r="K35" s="32">
        <v>-0.01612</v>
      </c>
      <c r="L35" s="32">
        <v>-0.01375</v>
      </c>
      <c r="M35" s="32">
        <v>-0.01346</v>
      </c>
      <c r="N35" s="32">
        <v>-0.00736</v>
      </c>
      <c r="O35" s="33">
        <v>-0.00895</v>
      </c>
      <c r="P35" s="31">
        <v>-0.014137</v>
      </c>
      <c r="Q35" s="32">
        <v>0.006079</v>
      </c>
      <c r="R35" s="32">
        <v>0.00357</v>
      </c>
      <c r="S35" s="32">
        <v>0.003517</v>
      </c>
      <c r="T35" s="32">
        <v>0.00414</v>
      </c>
      <c r="U35" s="32">
        <v>0.002243</v>
      </c>
      <c r="V35" s="33">
        <v>0.003036</v>
      </c>
      <c r="W35" s="31">
        <v>0.007213</v>
      </c>
      <c r="X35" s="32">
        <v>0.002666</v>
      </c>
      <c r="Y35" s="32">
        <v>0.002828</v>
      </c>
      <c r="Z35" s="32">
        <v>0.001709</v>
      </c>
      <c r="AA35" s="32">
        <v>0.002889</v>
      </c>
      <c r="AB35" s="32">
        <v>0.008921</v>
      </c>
      <c r="AC35" s="33">
        <v>0.00966</v>
      </c>
    </row>
    <row r="36" ht="16.5" spans="1:29">
      <c r="A36" s="52" t="s">
        <v>66</v>
      </c>
      <c r="B36" s="25" t="s">
        <v>64</v>
      </c>
      <c r="C36" s="26">
        <v>1</v>
      </c>
      <c r="D36" s="27">
        <v>0.18</v>
      </c>
      <c r="E36" s="28">
        <v>22.665</v>
      </c>
      <c r="F36" s="29">
        <v>0.49</v>
      </c>
      <c r="G36" s="29">
        <v>0.0964</v>
      </c>
      <c r="H36" s="30">
        <f t="shared" si="1"/>
        <v>0.525222222222222</v>
      </c>
      <c r="I36" s="31">
        <v>0.09454</v>
      </c>
      <c r="J36" s="32">
        <v>-0.0331</v>
      </c>
      <c r="K36" s="32">
        <v>-0.02467</v>
      </c>
      <c r="L36" s="32">
        <v>-0.0168</v>
      </c>
      <c r="M36" s="32">
        <v>-0.01407</v>
      </c>
      <c r="N36" s="32">
        <v>-0.01114</v>
      </c>
      <c r="O36" s="33">
        <v>-0.01128</v>
      </c>
      <c r="P36" s="31">
        <v>-0.017341</v>
      </c>
      <c r="Q36" s="32">
        <v>0.006887</v>
      </c>
      <c r="R36" s="32">
        <v>0.005246</v>
      </c>
      <c r="S36" s="32">
        <v>0.004437</v>
      </c>
      <c r="T36" s="32">
        <v>0.004506</v>
      </c>
      <c r="U36" s="32">
        <v>0.003382</v>
      </c>
      <c r="V36" s="33">
        <v>0.003814</v>
      </c>
      <c r="W36" s="31">
        <v>0.007784</v>
      </c>
      <c r="X36" s="32">
        <v>0.003439</v>
      </c>
      <c r="Y36" s="32">
        <v>0.002859</v>
      </c>
      <c r="Z36" s="32">
        <v>0.001952</v>
      </c>
      <c r="AA36" s="32">
        <v>0.003356</v>
      </c>
      <c r="AB36" s="32">
        <v>0.008794</v>
      </c>
      <c r="AC36" s="33">
        <v>0.011739</v>
      </c>
    </row>
    <row r="37" ht="16.5" spans="1:29">
      <c r="A37" s="52" t="s">
        <v>67</v>
      </c>
      <c r="B37" s="25" t="s">
        <v>64</v>
      </c>
      <c r="C37" s="26">
        <v>1</v>
      </c>
      <c r="D37" s="27">
        <v>0.2</v>
      </c>
      <c r="E37" s="28">
        <v>25.797</v>
      </c>
      <c r="F37" s="29">
        <v>0.541</v>
      </c>
      <c r="G37" s="29">
        <v>0.1058</v>
      </c>
      <c r="H37" s="30">
        <f t="shared" si="1"/>
        <v>0.51925</v>
      </c>
      <c r="I37" s="31">
        <v>0.10385</v>
      </c>
      <c r="J37" s="32">
        <v>-0.03235</v>
      </c>
      <c r="K37" s="32">
        <v>-0.02458</v>
      </c>
      <c r="L37" s="32">
        <v>-0.01822</v>
      </c>
      <c r="M37" s="32">
        <v>-0.01441</v>
      </c>
      <c r="N37" s="32">
        <v>-0.0121</v>
      </c>
      <c r="O37" s="33">
        <v>-0.01138</v>
      </c>
      <c r="P37" s="31">
        <v>-0.018522</v>
      </c>
      <c r="Q37" s="32">
        <v>0.006668</v>
      </c>
      <c r="R37" s="32">
        <v>0.004956</v>
      </c>
      <c r="S37" s="32">
        <v>0.004959</v>
      </c>
      <c r="T37" s="32">
        <v>0.004806</v>
      </c>
      <c r="U37" s="32">
        <v>0.004141</v>
      </c>
      <c r="V37" s="33">
        <v>0.0038</v>
      </c>
      <c r="W37" s="31">
        <v>0.008585</v>
      </c>
      <c r="X37" s="32">
        <v>0.003582</v>
      </c>
      <c r="Y37" s="32">
        <v>0.003688</v>
      </c>
      <c r="Z37" s="32">
        <v>0.002487</v>
      </c>
      <c r="AA37" s="32">
        <v>0.002585</v>
      </c>
      <c r="AB37" s="32">
        <v>0.011707</v>
      </c>
      <c r="AC37" s="33">
        <v>0.0102</v>
      </c>
    </row>
    <row r="38" s="3" customFormat="1" ht="16.5" spans="1:29">
      <c r="A38" s="52" t="s">
        <v>68</v>
      </c>
      <c r="B38" s="34" t="s">
        <v>64</v>
      </c>
      <c r="C38" s="35">
        <v>0.66</v>
      </c>
      <c r="D38" s="36">
        <v>0.1</v>
      </c>
      <c r="E38" s="37">
        <v>12.136</v>
      </c>
      <c r="F38" s="38">
        <v>0.241</v>
      </c>
      <c r="G38" s="38">
        <v>0.056</v>
      </c>
      <c r="H38" s="39">
        <f t="shared" si="1"/>
        <v>0.53794</v>
      </c>
      <c r="I38" s="40">
        <v>0.053794</v>
      </c>
      <c r="J38" s="41">
        <v>-0.018419</v>
      </c>
      <c r="K38" s="41">
        <v>-0.011029</v>
      </c>
      <c r="L38" s="41">
        <v>-0.011727</v>
      </c>
      <c r="M38" s="41">
        <v>-0.007083</v>
      </c>
      <c r="N38" s="41">
        <v>-0.005029</v>
      </c>
      <c r="O38" s="42">
        <v>-0.006385</v>
      </c>
      <c r="P38" s="40">
        <v>-0.013306</v>
      </c>
      <c r="Q38" s="41">
        <v>0.00457</v>
      </c>
      <c r="R38" s="41">
        <v>0.002776</v>
      </c>
      <c r="S38" s="41">
        <v>0.002966</v>
      </c>
      <c r="T38" s="41">
        <v>0.001807</v>
      </c>
      <c r="U38" s="41">
        <v>0.001302</v>
      </c>
      <c r="V38" s="42">
        <v>0.001649</v>
      </c>
      <c r="W38" s="40">
        <v>0.007858</v>
      </c>
      <c r="X38" s="41">
        <v>0.002523</v>
      </c>
      <c r="Y38" s="41">
        <v>0.001504</v>
      </c>
      <c r="Z38" s="41">
        <v>0.002295</v>
      </c>
      <c r="AA38" s="41">
        <v>0.001117</v>
      </c>
      <c r="AB38" s="41">
        <v>0.007426</v>
      </c>
      <c r="AC38" s="42">
        <v>0.005774</v>
      </c>
    </row>
    <row r="39" s="3" customFormat="1" ht="16.5" spans="1:29">
      <c r="A39" s="52" t="s">
        <v>69</v>
      </c>
      <c r="B39" s="34" t="s">
        <v>64</v>
      </c>
      <c r="C39" s="35">
        <v>0.66</v>
      </c>
      <c r="D39" s="36">
        <v>0.15</v>
      </c>
      <c r="E39" s="37">
        <v>20.141</v>
      </c>
      <c r="F39" s="38">
        <v>0.364</v>
      </c>
      <c r="G39" s="38">
        <v>0.0822</v>
      </c>
      <c r="H39" s="39">
        <f t="shared" si="1"/>
        <v>0.527773333333333</v>
      </c>
      <c r="I39" s="40">
        <v>0.079166</v>
      </c>
      <c r="J39" s="41">
        <v>-0.025872</v>
      </c>
      <c r="K39" s="41">
        <v>-0.014913</v>
      </c>
      <c r="L39" s="41">
        <v>-0.012705</v>
      </c>
      <c r="M39" s="41">
        <v>-0.01397</v>
      </c>
      <c r="N39" s="41">
        <v>-0.007455</v>
      </c>
      <c r="O39" s="42">
        <v>-0.009027</v>
      </c>
      <c r="P39" s="40">
        <v>-0.020393</v>
      </c>
      <c r="Q39" s="41">
        <v>0.006624</v>
      </c>
      <c r="R39" s="41">
        <v>0.003827</v>
      </c>
      <c r="S39" s="41">
        <v>0.003415</v>
      </c>
      <c r="T39" s="41">
        <v>0.003526</v>
      </c>
      <c r="U39" s="41">
        <v>0.001901</v>
      </c>
      <c r="V39" s="42">
        <v>0.002269</v>
      </c>
      <c r="W39" s="40">
        <v>0.008669</v>
      </c>
      <c r="X39" s="41">
        <v>0.00497</v>
      </c>
      <c r="Y39" s="41">
        <v>0.002791</v>
      </c>
      <c r="Z39" s="41">
        <v>0.002699</v>
      </c>
      <c r="AA39" s="41">
        <v>0.001756</v>
      </c>
      <c r="AB39" s="41">
        <v>0.005277</v>
      </c>
      <c r="AC39" s="42">
        <v>0.009927</v>
      </c>
    </row>
    <row r="40" s="3" customFormat="1" ht="16.5" spans="1:29">
      <c r="A40" s="52" t="s">
        <v>70</v>
      </c>
      <c r="B40" s="34" t="s">
        <v>64</v>
      </c>
      <c r="C40" s="35">
        <v>0.66</v>
      </c>
      <c r="D40" s="36">
        <v>0.18</v>
      </c>
      <c r="E40" s="37">
        <v>25.513</v>
      </c>
      <c r="F40" s="38">
        <v>0.448</v>
      </c>
      <c r="G40" s="38">
        <v>0.0999</v>
      </c>
      <c r="H40" s="39">
        <f t="shared" si="1"/>
        <v>0.533588888888889</v>
      </c>
      <c r="I40" s="40">
        <v>0.096046</v>
      </c>
      <c r="J40" s="41">
        <v>-0.03247</v>
      </c>
      <c r="K40" s="41">
        <v>-0.026625</v>
      </c>
      <c r="L40" s="41">
        <v>-0.017928</v>
      </c>
      <c r="M40" s="41">
        <v>-0.014622</v>
      </c>
      <c r="N40" s="41">
        <v>-0.010848</v>
      </c>
      <c r="O40" s="42">
        <v>-0.011535</v>
      </c>
      <c r="P40" s="40">
        <v>-0.025563</v>
      </c>
      <c r="Q40" s="41">
        <v>0.008508</v>
      </c>
      <c r="R40" s="41">
        <v>0.00693</v>
      </c>
      <c r="S40" s="41">
        <v>0.004503</v>
      </c>
      <c r="T40" s="41">
        <v>0.003807</v>
      </c>
      <c r="U40" s="41">
        <v>0.002858</v>
      </c>
      <c r="V40" s="42">
        <v>0.003095</v>
      </c>
      <c r="W40" s="40">
        <v>0.010523</v>
      </c>
      <c r="X40" s="41">
        <v>0.005374</v>
      </c>
      <c r="Y40" s="41">
        <v>0.005042</v>
      </c>
      <c r="Z40" s="41">
        <v>0.003077</v>
      </c>
      <c r="AA40" s="41">
        <v>0.001698</v>
      </c>
      <c r="AB40" s="41">
        <v>0.012551</v>
      </c>
      <c r="AC40" s="42">
        <v>0.008725</v>
      </c>
    </row>
    <row r="41" s="3" customFormat="1" ht="16.5" spans="1:29">
      <c r="A41" s="52" t="s">
        <v>71</v>
      </c>
      <c r="B41" s="34" t="s">
        <v>64</v>
      </c>
      <c r="C41" s="35">
        <v>0.66</v>
      </c>
      <c r="D41" s="36">
        <v>0.2</v>
      </c>
      <c r="E41" s="37">
        <v>29.357</v>
      </c>
      <c r="F41" s="38">
        <v>0.476</v>
      </c>
      <c r="G41" s="38">
        <v>0.1077</v>
      </c>
      <c r="H41" s="39">
        <f t="shared" si="1"/>
        <v>0.51529</v>
      </c>
      <c r="I41" s="40">
        <v>0.103058</v>
      </c>
      <c r="J41" s="41">
        <v>-0.032358</v>
      </c>
      <c r="K41" s="41">
        <v>-0.02586</v>
      </c>
      <c r="L41" s="41">
        <v>-0.017954</v>
      </c>
      <c r="M41" s="41">
        <v>-0.013885</v>
      </c>
      <c r="N41" s="41">
        <v>-0.012627</v>
      </c>
      <c r="O41" s="42">
        <v>-0.012023</v>
      </c>
      <c r="P41" s="40">
        <v>-0.025968</v>
      </c>
      <c r="Q41" s="41">
        <v>0.008628</v>
      </c>
      <c r="R41" s="41">
        <v>0.006867</v>
      </c>
      <c r="S41" s="41">
        <v>0.004838</v>
      </c>
      <c r="T41" s="41">
        <v>0.003516</v>
      </c>
      <c r="U41" s="41">
        <v>0.003408</v>
      </c>
      <c r="V41" s="42">
        <v>0.003064</v>
      </c>
      <c r="W41" s="40">
        <v>0.017602</v>
      </c>
      <c r="X41" s="41">
        <v>0.00435</v>
      </c>
      <c r="Y41" s="41">
        <v>0.003157</v>
      </c>
      <c r="Z41" s="41">
        <v>0.003112</v>
      </c>
      <c r="AA41" s="41">
        <v>0.002665</v>
      </c>
      <c r="AB41" s="41">
        <v>0.011364</v>
      </c>
      <c r="AC41" s="42">
        <v>0.010154</v>
      </c>
    </row>
    <row r="42" ht="16.5" spans="1:29">
      <c r="A42" s="52" t="s">
        <v>72</v>
      </c>
      <c r="B42" s="25" t="s">
        <v>64</v>
      </c>
      <c r="C42" s="26">
        <v>0.58</v>
      </c>
      <c r="D42" s="27">
        <v>0.1</v>
      </c>
      <c r="E42" s="28">
        <v>12.938</v>
      </c>
      <c r="F42" s="29">
        <v>0.213</v>
      </c>
      <c r="G42" s="29">
        <v>0.0524</v>
      </c>
      <c r="H42" s="30">
        <f t="shared" si="1"/>
        <v>0.48601</v>
      </c>
      <c r="I42" s="31">
        <v>0.048601</v>
      </c>
      <c r="J42" s="32">
        <v>-0.017907</v>
      </c>
      <c r="K42" s="32">
        <v>-0.010394</v>
      </c>
      <c r="L42" s="32">
        <v>-0.01038</v>
      </c>
      <c r="M42" s="32">
        <v>-0.006008</v>
      </c>
      <c r="N42" s="32">
        <v>-0.004778</v>
      </c>
      <c r="O42" s="33">
        <v>-0.006168</v>
      </c>
      <c r="P42" s="31">
        <v>-0.01598</v>
      </c>
      <c r="Q42" s="32">
        <v>0.006083</v>
      </c>
      <c r="R42" s="32">
        <v>0.003312</v>
      </c>
      <c r="S42" s="32">
        <v>0.003346</v>
      </c>
      <c r="T42" s="32">
        <v>0.001925</v>
      </c>
      <c r="U42" s="32">
        <v>0.001532</v>
      </c>
      <c r="V42" s="33">
        <v>0.001963</v>
      </c>
      <c r="W42" s="31">
        <v>0.011255</v>
      </c>
      <c r="X42" s="32">
        <v>0.003354</v>
      </c>
      <c r="Y42" s="32">
        <v>0.001931</v>
      </c>
      <c r="Z42" s="32">
        <v>0.002261</v>
      </c>
      <c r="AA42" s="32">
        <v>0.001066</v>
      </c>
      <c r="AB42" s="32">
        <v>0.004359</v>
      </c>
      <c r="AC42" s="33">
        <v>0.008196</v>
      </c>
    </row>
    <row r="43" ht="16.5" spans="1:29">
      <c r="A43" s="52" t="s">
        <v>73</v>
      </c>
      <c r="B43" s="25" t="s">
        <v>64</v>
      </c>
      <c r="C43" s="26">
        <v>0.58</v>
      </c>
      <c r="D43" s="27">
        <v>0.15</v>
      </c>
      <c r="E43" s="28">
        <v>20.207</v>
      </c>
      <c r="F43" s="29">
        <v>0.342</v>
      </c>
      <c r="G43" s="29">
        <v>0.0831</v>
      </c>
      <c r="H43" s="30">
        <f t="shared" si="1"/>
        <v>0.511846666666667</v>
      </c>
      <c r="I43" s="31">
        <v>0.076777</v>
      </c>
      <c r="J43" s="32">
        <v>-0.027981</v>
      </c>
      <c r="K43" s="32">
        <v>-0.016054</v>
      </c>
      <c r="L43" s="32">
        <v>-0.01248</v>
      </c>
      <c r="M43" s="32">
        <v>-0.01225</v>
      </c>
      <c r="N43" s="32">
        <v>-0.006578</v>
      </c>
      <c r="O43" s="33">
        <v>-0.009185</v>
      </c>
      <c r="P43" s="31">
        <v>-0.02508</v>
      </c>
      <c r="Q43" s="32">
        <v>0.009265</v>
      </c>
      <c r="R43" s="32">
        <v>0.005199</v>
      </c>
      <c r="S43" s="32">
        <v>0.004138</v>
      </c>
      <c r="T43" s="32">
        <v>0.003886</v>
      </c>
      <c r="U43" s="32">
        <v>0.002193</v>
      </c>
      <c r="V43" s="33">
        <v>0.003099</v>
      </c>
      <c r="W43" s="31">
        <v>0.019424</v>
      </c>
      <c r="X43" s="32">
        <v>0.005427</v>
      </c>
      <c r="Y43" s="32">
        <v>0.002247</v>
      </c>
      <c r="Z43" s="32">
        <v>0.001882</v>
      </c>
      <c r="AA43" s="32">
        <v>0.00224</v>
      </c>
      <c r="AB43" s="32">
        <v>0.013936</v>
      </c>
      <c r="AC43" s="33">
        <v>0.01146</v>
      </c>
    </row>
    <row r="44" ht="16.5" spans="1:29">
      <c r="A44" s="52" t="s">
        <v>74</v>
      </c>
      <c r="B44" s="25" t="s">
        <v>64</v>
      </c>
      <c r="C44" s="26">
        <v>0.58</v>
      </c>
      <c r="D44" s="27">
        <v>0.18</v>
      </c>
      <c r="E44" s="28">
        <v>25.695</v>
      </c>
      <c r="F44" s="29">
        <v>0.433</v>
      </c>
      <c r="G44" s="29">
        <v>0.1002</v>
      </c>
      <c r="H44" s="30">
        <f t="shared" si="1"/>
        <v>0.5243</v>
      </c>
      <c r="I44" s="31">
        <v>0.094374</v>
      </c>
      <c r="J44" s="32">
        <v>-0.032742</v>
      </c>
      <c r="K44" s="32">
        <v>-0.023924</v>
      </c>
      <c r="L44" s="32">
        <v>-0.01584</v>
      </c>
      <c r="M44" s="32">
        <v>-0.013787</v>
      </c>
      <c r="N44" s="32">
        <v>-0.010294</v>
      </c>
      <c r="O44" s="33">
        <v>-0.010662</v>
      </c>
      <c r="P44" s="31">
        <v>-0.030684</v>
      </c>
      <c r="Q44" s="32">
        <v>0.011004</v>
      </c>
      <c r="R44" s="32">
        <v>0.007942</v>
      </c>
      <c r="S44" s="32">
        <v>0.005253</v>
      </c>
      <c r="T44" s="32">
        <v>0.004379</v>
      </c>
      <c r="U44" s="32">
        <v>0.003348</v>
      </c>
      <c r="V44" s="33">
        <v>0.003509</v>
      </c>
      <c r="W44" s="31">
        <v>0.014138</v>
      </c>
      <c r="X44" s="32">
        <v>0.007229</v>
      </c>
      <c r="Y44" s="32">
        <v>0.00515</v>
      </c>
      <c r="Z44" s="32">
        <v>0.002977</v>
      </c>
      <c r="AA44" s="32">
        <v>0.00306</v>
      </c>
      <c r="AB44" s="32">
        <v>0.011819</v>
      </c>
      <c r="AC44" s="33">
        <v>0.014625</v>
      </c>
    </row>
    <row r="45" ht="16.5" spans="1:29">
      <c r="A45" s="52" t="s">
        <v>75</v>
      </c>
      <c r="B45" s="25" t="s">
        <v>64</v>
      </c>
      <c r="C45" s="26">
        <v>0.58</v>
      </c>
      <c r="D45" s="27">
        <v>0.2</v>
      </c>
      <c r="E45" s="28">
        <v>29.013</v>
      </c>
      <c r="F45" s="29">
        <v>0.469</v>
      </c>
      <c r="G45" s="29">
        <v>0.1074</v>
      </c>
      <c r="H45" s="30">
        <f t="shared" si="1"/>
        <v>0.506845</v>
      </c>
      <c r="I45" s="31">
        <v>0.101369</v>
      </c>
      <c r="J45" s="32">
        <v>-0.029783</v>
      </c>
      <c r="K45" s="32">
        <v>-0.024712</v>
      </c>
      <c r="L45" s="32">
        <v>-0.018648</v>
      </c>
      <c r="M45" s="32">
        <v>-0.013458</v>
      </c>
      <c r="N45" s="32">
        <v>-0.011796</v>
      </c>
      <c r="O45" s="33">
        <v>-0.011735</v>
      </c>
      <c r="P45" s="31">
        <v>-0.032979</v>
      </c>
      <c r="Q45" s="32">
        <v>0.009958</v>
      </c>
      <c r="R45" s="32">
        <v>0.00824</v>
      </c>
      <c r="S45" s="32">
        <v>0.005918</v>
      </c>
      <c r="T45" s="32">
        <v>0.004385</v>
      </c>
      <c r="U45" s="32">
        <v>0.004009</v>
      </c>
      <c r="V45" s="33">
        <v>0.003886</v>
      </c>
      <c r="W45" s="31">
        <v>0.013271</v>
      </c>
      <c r="X45" s="32">
        <v>0.004743</v>
      </c>
      <c r="Y45" s="32">
        <v>0.003503</v>
      </c>
      <c r="Z45" s="32">
        <v>0.004207</v>
      </c>
      <c r="AA45" s="32">
        <v>0.001808</v>
      </c>
      <c r="AB45" s="32">
        <v>0.018339</v>
      </c>
      <c r="AC45" s="33">
        <v>0.012385</v>
      </c>
    </row>
    <row r="46" s="3" customFormat="1" ht="16.5" spans="1:29">
      <c r="A46" s="52" t="s">
        <v>76</v>
      </c>
      <c r="B46" s="34" t="s">
        <v>64</v>
      </c>
      <c r="C46" s="35">
        <v>0.5</v>
      </c>
      <c r="D46" s="36">
        <v>0.1</v>
      </c>
      <c r="E46" s="37">
        <v>15.792</v>
      </c>
      <c r="F46" s="38">
        <v>0.203</v>
      </c>
      <c r="G46" s="38">
        <v>0.0534</v>
      </c>
      <c r="H46" s="39">
        <f t="shared" si="1"/>
        <v>0.48214</v>
      </c>
      <c r="I46" s="40">
        <v>0.048214</v>
      </c>
      <c r="J46" s="41">
        <v>-0.017964</v>
      </c>
      <c r="K46" s="41">
        <v>-0.010899</v>
      </c>
      <c r="L46" s="41">
        <v>-0.010557</v>
      </c>
      <c r="M46" s="41">
        <v>-0.006185</v>
      </c>
      <c r="N46" s="41">
        <v>-0.00466</v>
      </c>
      <c r="O46" s="42">
        <v>-0.005902</v>
      </c>
      <c r="P46" s="40">
        <v>-0.019156</v>
      </c>
      <c r="Q46" s="41">
        <v>0.007306</v>
      </c>
      <c r="R46" s="41">
        <v>0.004465</v>
      </c>
      <c r="S46" s="41">
        <v>0.004231</v>
      </c>
      <c r="T46" s="41">
        <v>0.00245</v>
      </c>
      <c r="U46" s="41">
        <v>0.001936</v>
      </c>
      <c r="V46" s="42">
        <v>0.002448</v>
      </c>
      <c r="W46" s="40">
        <v>0.012672</v>
      </c>
      <c r="X46" s="41">
        <v>0.004421</v>
      </c>
      <c r="Y46" s="41">
        <v>0.003326</v>
      </c>
      <c r="Z46" s="41">
        <v>0.002423</v>
      </c>
      <c r="AA46" s="41">
        <v>0.001305</v>
      </c>
      <c r="AB46" s="41">
        <v>0.00518</v>
      </c>
      <c r="AC46" s="42">
        <v>0.009157</v>
      </c>
    </row>
    <row r="47" s="3" customFormat="1" ht="16.5" spans="1:29">
      <c r="A47" s="52" t="s">
        <v>77</v>
      </c>
      <c r="B47" s="34" t="s">
        <v>64</v>
      </c>
      <c r="C47" s="35">
        <v>0.5</v>
      </c>
      <c r="D47" s="36">
        <v>0.15</v>
      </c>
      <c r="E47" s="37">
        <v>24.064</v>
      </c>
      <c r="F47" s="38">
        <v>0.31</v>
      </c>
      <c r="G47" s="38">
        <v>0.0803</v>
      </c>
      <c r="H47" s="39">
        <f t="shared" si="1"/>
        <v>0.48828</v>
      </c>
      <c r="I47" s="40">
        <v>0.073242</v>
      </c>
      <c r="J47" s="41">
        <v>-0.024894</v>
      </c>
      <c r="K47" s="41">
        <v>-0.013818</v>
      </c>
      <c r="L47" s="41">
        <v>-0.012959</v>
      </c>
      <c r="M47" s="41">
        <v>-0.012249</v>
      </c>
      <c r="N47" s="41">
        <v>-0.006858</v>
      </c>
      <c r="O47" s="42">
        <v>-0.008048</v>
      </c>
      <c r="P47" s="40">
        <v>-0.029976</v>
      </c>
      <c r="Q47" s="41">
        <v>0.010143</v>
      </c>
      <c r="R47" s="41">
        <v>0.005647</v>
      </c>
      <c r="S47" s="41">
        <v>0.005191</v>
      </c>
      <c r="T47" s="41">
        <v>0.004921</v>
      </c>
      <c r="U47" s="41">
        <v>0.00286</v>
      </c>
      <c r="V47" s="42">
        <v>0.003347</v>
      </c>
      <c r="W47" s="40">
        <v>0.013346</v>
      </c>
      <c r="X47" s="41">
        <v>0.006861</v>
      </c>
      <c r="Y47" s="41">
        <v>0.004288</v>
      </c>
      <c r="Z47" s="41">
        <v>0.002235</v>
      </c>
      <c r="AA47" s="41">
        <v>0.002649</v>
      </c>
      <c r="AB47" s="41">
        <v>0.012347</v>
      </c>
      <c r="AC47" s="42">
        <v>0.011723</v>
      </c>
    </row>
    <row r="48" s="3" customFormat="1" ht="16.5" spans="1:29">
      <c r="A48" s="52" t="s">
        <v>78</v>
      </c>
      <c r="B48" s="34" t="s">
        <v>64</v>
      </c>
      <c r="C48" s="35">
        <v>0.5</v>
      </c>
      <c r="D48" s="36">
        <v>0.18</v>
      </c>
      <c r="E48" s="37">
        <v>28.737</v>
      </c>
      <c r="F48" s="38">
        <v>0.389</v>
      </c>
      <c r="G48" s="38">
        <v>0.1003</v>
      </c>
      <c r="H48" s="39">
        <f t="shared" si="1"/>
        <v>0.492344444444444</v>
      </c>
      <c r="I48" s="40">
        <v>0.088622</v>
      </c>
      <c r="J48" s="41">
        <v>-0.0331</v>
      </c>
      <c r="K48" s="41">
        <v>-0.023009</v>
      </c>
      <c r="L48" s="41">
        <v>-0.016055</v>
      </c>
      <c r="M48" s="41">
        <v>-0.014088</v>
      </c>
      <c r="N48" s="41">
        <v>-0.011082</v>
      </c>
      <c r="O48" s="42">
        <v>-0.010391</v>
      </c>
      <c r="P48" s="40">
        <v>-0.036921</v>
      </c>
      <c r="Q48" s="41">
        <v>0.013717</v>
      </c>
      <c r="R48" s="41">
        <v>0.009569</v>
      </c>
      <c r="S48" s="41">
        <v>0.006544</v>
      </c>
      <c r="T48" s="41">
        <v>0.005634</v>
      </c>
      <c r="U48" s="41">
        <v>0.004653</v>
      </c>
      <c r="V48" s="42">
        <v>0.004154</v>
      </c>
      <c r="W48" s="40">
        <v>0.028895</v>
      </c>
      <c r="X48" s="41">
        <v>0.008812</v>
      </c>
      <c r="Y48" s="41">
        <v>0.004715</v>
      </c>
      <c r="Z48" s="41">
        <v>0.003987</v>
      </c>
      <c r="AA48" s="41">
        <v>0.00295</v>
      </c>
      <c r="AB48" s="41">
        <v>0.009441</v>
      </c>
      <c r="AC48" s="42">
        <v>0.018729</v>
      </c>
    </row>
    <row r="49" s="4" customFormat="1" ht="16.5" spans="1:29">
      <c r="A49" s="52" t="s">
        <v>79</v>
      </c>
      <c r="B49" s="43" t="s">
        <v>64</v>
      </c>
      <c r="C49" s="44">
        <v>0.5</v>
      </c>
      <c r="D49" s="45">
        <v>0.2</v>
      </c>
      <c r="E49" s="46">
        <v>31.126</v>
      </c>
      <c r="F49" s="47">
        <v>0.432</v>
      </c>
      <c r="G49" s="47">
        <v>0.1094</v>
      </c>
      <c r="H49" s="48">
        <f t="shared" si="1"/>
        <v>0.492445</v>
      </c>
      <c r="I49" s="49">
        <v>0.098489</v>
      </c>
      <c r="J49" s="50">
        <v>-0.031308</v>
      </c>
      <c r="K49" s="50">
        <v>-0.022673</v>
      </c>
      <c r="L49" s="50">
        <v>-0.016157</v>
      </c>
      <c r="M49" s="50">
        <v>-0.013129</v>
      </c>
      <c r="N49" s="50">
        <v>-0.011897</v>
      </c>
      <c r="O49" s="51">
        <v>-0.010515</v>
      </c>
      <c r="P49" s="49">
        <v>-0.038993</v>
      </c>
      <c r="Q49" s="50">
        <v>0.012638</v>
      </c>
      <c r="R49" s="50">
        <v>0.009142</v>
      </c>
      <c r="S49" s="50">
        <v>0.006581</v>
      </c>
      <c r="T49" s="50">
        <v>0.005396</v>
      </c>
      <c r="U49" s="50">
        <v>0.004786</v>
      </c>
      <c r="V49" s="51">
        <v>0.004315</v>
      </c>
      <c r="W49" s="49">
        <v>0.027484</v>
      </c>
      <c r="X49" s="50">
        <v>0.00606</v>
      </c>
      <c r="Y49" s="50">
        <v>0.007075</v>
      </c>
      <c r="Z49" s="50">
        <v>0.003113</v>
      </c>
      <c r="AA49" s="50">
        <v>0.003327</v>
      </c>
      <c r="AB49" s="50">
        <v>0.019491</v>
      </c>
      <c r="AC49" s="51">
        <v>0.018194</v>
      </c>
    </row>
  </sheetData>
  <autoFilter xmlns:etc="http://www.wps.cn/officeDocument/2017/etCustomData" ref="B1:AC4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ZG</cp:lastModifiedBy>
  <dcterms:created xsi:type="dcterms:W3CDTF">2023-05-12T11:15:00Z</dcterms:created>
  <dcterms:modified xsi:type="dcterms:W3CDTF">2026-04-14T03:59:48Z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CCF63FF064C6457B83F14375E0FEA770_12</vt:lpwstr>
  </property>
  <property fmtid="{D5CDD505-2E9C-101B-9397-08002B2CF9AE}" pid="4" name="CalculationRule">
    <vt:i4>0</vt:i4>
  </property>
</Properties>
</file>